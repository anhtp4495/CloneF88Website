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Projects\F88CloneVer1\Documents\"/>
    </mc:Choice>
  </mc:AlternateContent>
  <bookViews>
    <workbookView xWindow="0" yWindow="0" windowWidth="20370" windowHeight="7080" tabRatio="991"/>
  </bookViews>
  <sheets>
    <sheet name="Sheet List" sheetId="66" r:id="rId1"/>
    <sheet name="Menu" sheetId="258" r:id="rId2"/>
    <sheet name="TinTuc" sheetId="265" r:id="rId3"/>
    <sheet name="LoaiTinTuc" sheetId="266" r:id="rId4"/>
    <sheet name="DanhSachCuaHang" sheetId="263" r:id="rId5"/>
    <sheet name="KhachHang" sheetId="251" r:id="rId6"/>
    <sheet name="GiayTo" sheetId="261" r:id="rId7"/>
    <sheet name="TaiSan" sheetId="257" r:id="rId8"/>
    <sheet name="HopDong" sheetId="262" r:id="rId9"/>
    <sheet name="ChiTietHopDong" sheetId="259" r:id="rId10"/>
  </sheets>
  <definedNames>
    <definedName name="Sheets">TRANSPOSE(GET.WORKBOOK(1))&amp;T(NOW())</definedName>
  </definedNames>
  <calcPr calcId="152511"/>
</workbook>
</file>

<file path=xl/calcChain.xml><?xml version="1.0" encoding="utf-8"?>
<calcChain xmlns="http://schemas.openxmlformats.org/spreadsheetml/2006/main">
  <c r="B19" i="263" l="1"/>
  <c r="B20" i="263"/>
  <c r="B21" i="263"/>
  <c r="B22" i="263"/>
  <c r="B23" i="263"/>
  <c r="B24" i="263"/>
  <c r="B25" i="263"/>
  <c r="B26" i="263"/>
  <c r="B27" i="263"/>
  <c r="B24" i="266"/>
  <c r="B25" i="266"/>
  <c r="B26" i="266"/>
  <c r="B27" i="266"/>
  <c r="B16" i="266"/>
  <c r="B17" i="266"/>
  <c r="B18" i="266"/>
  <c r="B19" i="266"/>
  <c r="B20" i="266"/>
  <c r="B21" i="266"/>
  <c r="C46" i="266"/>
  <c r="B46" i="266"/>
  <c r="C45" i="266"/>
  <c r="B45" i="266"/>
  <c r="C44" i="266"/>
  <c r="B44" i="266"/>
  <c r="C43" i="266"/>
  <c r="B43" i="266"/>
  <c r="C42" i="266"/>
  <c r="B42" i="266"/>
  <c r="C41" i="266"/>
  <c r="B41" i="266"/>
  <c r="C40" i="266"/>
  <c r="B40" i="266"/>
  <c r="C39" i="266"/>
  <c r="B39" i="266"/>
  <c r="C38" i="266"/>
  <c r="B38" i="266"/>
  <c r="B34" i="266"/>
  <c r="B23" i="266"/>
  <c r="B15" i="266"/>
  <c r="A14" i="266"/>
  <c r="A13" i="266"/>
  <c r="B22" i="261"/>
  <c r="B23" i="261"/>
  <c r="B24" i="261"/>
  <c r="B25" i="261"/>
  <c r="B26" i="261"/>
  <c r="B27" i="261"/>
  <c r="B28" i="261"/>
  <c r="B29" i="261"/>
  <c r="B30" i="261"/>
  <c r="B31" i="261"/>
  <c r="B32" i="261"/>
  <c r="B33" i="261"/>
  <c r="B20" i="257"/>
  <c r="B21" i="257"/>
  <c r="B22" i="257"/>
  <c r="B23" i="257"/>
  <c r="B24" i="257"/>
  <c r="B25" i="257"/>
  <c r="B26" i="257"/>
  <c r="B27" i="257"/>
  <c r="B28" i="257"/>
  <c r="B29" i="257"/>
  <c r="B21" i="262"/>
  <c r="B22" i="262"/>
  <c r="B23" i="262"/>
  <c r="B24" i="262"/>
  <c r="B25" i="262"/>
  <c r="B26" i="262"/>
  <c r="B27" i="262"/>
  <c r="B28" i="262"/>
  <c r="B29" i="262"/>
  <c r="B30" i="262"/>
  <c r="B31" i="262"/>
  <c r="B19" i="258"/>
  <c r="B20" i="258"/>
  <c r="B21" i="258"/>
  <c r="B22" i="258"/>
  <c r="B23" i="258"/>
  <c r="B24" i="258"/>
  <c r="B25" i="258"/>
  <c r="B26" i="258"/>
  <c r="B27" i="258"/>
  <c r="C45" i="263"/>
  <c r="C46" i="263"/>
  <c r="C47" i="263"/>
  <c r="C48" i="263"/>
  <c r="C49" i="263"/>
  <c r="C50" i="263"/>
  <c r="C51" i="263"/>
  <c r="C52" i="263"/>
  <c r="C53" i="263"/>
  <c r="B53" i="263"/>
  <c r="B45" i="263"/>
  <c r="B46" i="263"/>
  <c r="B47" i="263"/>
  <c r="B48" i="263"/>
  <c r="B49" i="263"/>
  <c r="B50" i="263"/>
  <c r="B51" i="263"/>
  <c r="B52" i="263"/>
  <c r="C51" i="265"/>
  <c r="B51" i="265"/>
  <c r="C50" i="265"/>
  <c r="B50" i="265"/>
  <c r="C49" i="265"/>
  <c r="B49" i="265"/>
  <c r="C48" i="265"/>
  <c r="B48" i="265"/>
  <c r="C47" i="265"/>
  <c r="B47" i="265"/>
  <c r="C46" i="265"/>
  <c r="B46" i="265"/>
  <c r="C45" i="265"/>
  <c r="B45" i="265"/>
  <c r="C44" i="265"/>
  <c r="B44" i="265"/>
  <c r="C43" i="265"/>
  <c r="B43" i="265"/>
  <c r="B39" i="265"/>
  <c r="B32" i="265"/>
  <c r="B31" i="265"/>
  <c r="B30" i="265"/>
  <c r="B29" i="265"/>
  <c r="B28" i="265"/>
  <c r="B26" i="265"/>
  <c r="B25" i="265"/>
  <c r="B24" i="265"/>
  <c r="B23" i="265"/>
  <c r="B22" i="265"/>
  <c r="B21" i="265"/>
  <c r="B20" i="265"/>
  <c r="B19" i="265"/>
  <c r="B18" i="265"/>
  <c r="A17" i="265"/>
  <c r="A16" i="265"/>
  <c r="C44" i="263"/>
  <c r="B44" i="263"/>
  <c r="B40" i="263"/>
  <c r="B33" i="263"/>
  <c r="B32" i="263"/>
  <c r="B31" i="263"/>
  <c r="B30" i="263"/>
  <c r="B29" i="263"/>
  <c r="B18" i="263"/>
  <c r="A17" i="263"/>
  <c r="A16" i="263"/>
  <c r="C49" i="262"/>
  <c r="C50" i="262"/>
  <c r="C51" i="262"/>
  <c r="C52" i="262"/>
  <c r="C53" i="262"/>
  <c r="C54" i="262"/>
  <c r="C55" i="262"/>
  <c r="C56" i="262"/>
  <c r="B49" i="262"/>
  <c r="B50" i="262"/>
  <c r="B51" i="262"/>
  <c r="B52" i="262"/>
  <c r="B53" i="262"/>
  <c r="B54" i="262"/>
  <c r="B55" i="262"/>
  <c r="B56" i="262"/>
  <c r="B57" i="262"/>
  <c r="B58" i="262"/>
  <c r="B59" i="262"/>
  <c r="B20" i="251"/>
  <c r="B21" i="251"/>
  <c r="B22" i="251"/>
  <c r="B23" i="251"/>
  <c r="B24" i="251"/>
  <c r="B25" i="251"/>
  <c r="B26" i="251"/>
  <c r="B27" i="251"/>
  <c r="B28" i="251"/>
  <c r="B29" i="251"/>
  <c r="A11" i="66" a="1"/>
  <c r="A13" i="66" a="1"/>
  <c r="A15" i="66" a="1"/>
  <c r="A14" i="66" a="1"/>
  <c r="A12" i="66" a="1"/>
  <c r="A16" i="66" a="1"/>
  <c r="A3" i="66" a="1"/>
  <c r="A5" i="66" a="1"/>
  <c r="A7" i="66" a="1"/>
  <c r="A9" i="66" a="1"/>
  <c r="A4" i="66" a="1"/>
  <c r="A6" i="66" a="1"/>
  <c r="A8" i="66" a="1"/>
  <c r="A10" i="66" a="1"/>
  <c r="A16" i="66" l="1"/>
  <c r="A12" i="66"/>
  <c r="B12" i="66" s="1"/>
  <c r="A14" i="66"/>
  <c r="B14" i="66" s="1"/>
  <c r="A15" i="66"/>
  <c r="B15" i="66" s="1"/>
  <c r="A13" i="66"/>
  <c r="B13" i="66" s="1"/>
  <c r="A11" i="66"/>
  <c r="B11" i="66" s="1"/>
  <c r="A10" i="66"/>
  <c r="B10" i="66" s="1"/>
  <c r="A8" i="66"/>
  <c r="B8" i="66" s="1"/>
  <c r="A6" i="66"/>
  <c r="B6" i="66" s="1"/>
  <c r="A4" i="66"/>
  <c r="B4" i="66" s="1"/>
  <c r="A9" i="66"/>
  <c r="B9" i="66" s="1"/>
  <c r="A7" i="66"/>
  <c r="B7" i="66" s="1"/>
  <c r="A5" i="66"/>
  <c r="B5" i="66" s="1"/>
  <c r="A3" i="66"/>
  <c r="B3" i="66" s="1"/>
  <c r="B47" i="251"/>
  <c r="B48" i="251"/>
  <c r="B49" i="251"/>
  <c r="B50" i="251"/>
  <c r="B51" i="251"/>
  <c r="B52" i="251"/>
  <c r="B53" i="251"/>
  <c r="B54" i="251"/>
  <c r="B55" i="251"/>
  <c r="B56" i="251"/>
  <c r="C47" i="251"/>
  <c r="C48" i="251"/>
  <c r="C49" i="251"/>
  <c r="C50" i="251"/>
  <c r="C51" i="251"/>
  <c r="C52" i="251"/>
  <c r="C53" i="251"/>
  <c r="C54" i="251"/>
  <c r="C55" i="251"/>
  <c r="C56" i="251"/>
  <c r="C48" i="262"/>
  <c r="B48" i="262"/>
  <c r="B44" i="262"/>
  <c r="B37" i="262"/>
  <c r="B36" i="262"/>
  <c r="B35" i="262"/>
  <c r="B34" i="262"/>
  <c r="B33" i="262"/>
  <c r="B20" i="262"/>
  <c r="A19" i="262"/>
  <c r="A18" i="262"/>
  <c r="C58" i="261"/>
  <c r="B58" i="261"/>
  <c r="C57" i="261"/>
  <c r="B57" i="261"/>
  <c r="C56" i="261"/>
  <c r="B56" i="261"/>
  <c r="C55" i="261"/>
  <c r="B55" i="261"/>
  <c r="C54" i="261"/>
  <c r="B54" i="261"/>
  <c r="C53" i="261"/>
  <c r="B53" i="261"/>
  <c r="C52" i="261"/>
  <c r="B52" i="261"/>
  <c r="C51" i="261"/>
  <c r="B51" i="261"/>
  <c r="C50" i="261"/>
  <c r="B50" i="261"/>
  <c r="B46" i="261"/>
  <c r="B39" i="261"/>
  <c r="B38" i="261"/>
  <c r="B37" i="261"/>
  <c r="B36" i="261"/>
  <c r="B35" i="261"/>
  <c r="B21" i="261"/>
  <c r="A20" i="261"/>
  <c r="A19" i="261"/>
  <c r="C50" i="259"/>
  <c r="B50" i="259"/>
  <c r="C49" i="259"/>
  <c r="B49" i="259"/>
  <c r="C48" i="259"/>
  <c r="B48" i="259"/>
  <c r="C47" i="259"/>
  <c r="B47" i="259"/>
  <c r="C46" i="259"/>
  <c r="B46" i="259"/>
  <c r="C45" i="259"/>
  <c r="B45" i="259"/>
  <c r="C44" i="259"/>
  <c r="B44" i="259"/>
  <c r="C43" i="259"/>
  <c r="B43" i="259"/>
  <c r="C42" i="259"/>
  <c r="B42" i="259"/>
  <c r="B38" i="259"/>
  <c r="B31" i="259"/>
  <c r="B30" i="259"/>
  <c r="B29" i="259"/>
  <c r="B28" i="259"/>
  <c r="B27" i="259"/>
  <c r="B25" i="259"/>
  <c r="B24" i="259"/>
  <c r="B23" i="259"/>
  <c r="B22" i="259"/>
  <c r="B21" i="259"/>
  <c r="B20" i="259"/>
  <c r="B19" i="259"/>
  <c r="B18" i="259"/>
  <c r="B17" i="259"/>
  <c r="A16" i="259"/>
  <c r="A15" i="259"/>
  <c r="C52" i="258"/>
  <c r="B52" i="258"/>
  <c r="C51" i="258"/>
  <c r="B51" i="258"/>
  <c r="C50" i="258"/>
  <c r="B50" i="258"/>
  <c r="C49" i="258"/>
  <c r="B49" i="258"/>
  <c r="C48" i="258"/>
  <c r="B48" i="258"/>
  <c r="C47" i="258"/>
  <c r="B47" i="258"/>
  <c r="C46" i="258"/>
  <c r="B46" i="258"/>
  <c r="C45" i="258"/>
  <c r="B45" i="258"/>
  <c r="C44" i="258"/>
  <c r="B44" i="258"/>
  <c r="B40" i="258"/>
  <c r="B33" i="258"/>
  <c r="B32" i="258"/>
  <c r="B31" i="258"/>
  <c r="B30" i="258"/>
  <c r="B29" i="258"/>
  <c r="B18" i="258"/>
  <c r="A17" i="258"/>
  <c r="A16" i="258"/>
  <c r="C54" i="257"/>
  <c r="B54" i="257"/>
  <c r="C53" i="257"/>
  <c r="B53" i="257"/>
  <c r="C52" i="257"/>
  <c r="B52" i="257"/>
  <c r="C51" i="257"/>
  <c r="B51" i="257"/>
  <c r="C50" i="257"/>
  <c r="B50" i="257"/>
  <c r="C49" i="257"/>
  <c r="B49" i="257"/>
  <c r="C48" i="257"/>
  <c r="B48" i="257"/>
  <c r="C47" i="257"/>
  <c r="B47" i="257"/>
  <c r="C46" i="257"/>
  <c r="B46" i="257"/>
  <c r="B42" i="257"/>
  <c r="B35" i="257"/>
  <c r="B34" i="257"/>
  <c r="B33" i="257"/>
  <c r="B32" i="257"/>
  <c r="B31" i="257"/>
  <c r="B19" i="257"/>
  <c r="A18" i="257"/>
  <c r="A17" i="257"/>
  <c r="B32" i="251"/>
  <c r="B33" i="251"/>
  <c r="B34" i="251"/>
  <c r="B35" i="251"/>
  <c r="B42" i="251"/>
  <c r="B46" i="251"/>
  <c r="C46" i="251"/>
  <c r="A2" i="66" a="1"/>
  <c r="A2" i="66"/>
  <c r="B31" i="251" l="1"/>
  <c r="B19" i="251"/>
  <c r="A18" i="251"/>
  <c r="A17" i="251"/>
  <c r="B2" i="66" l="1"/>
</calcChain>
</file>

<file path=xl/sharedStrings.xml><?xml version="1.0" encoding="utf-8"?>
<sst xmlns="http://schemas.openxmlformats.org/spreadsheetml/2006/main" count="473" uniqueCount="86">
  <si>
    <t>Field Name</t>
  </si>
  <si>
    <t>Data Type</t>
  </si>
  <si>
    <t>Primary Key</t>
  </si>
  <si>
    <t>Foreign Key</t>
  </si>
  <si>
    <t>Nullable</t>
  </si>
  <si>
    <t>Default</t>
  </si>
  <si>
    <t>Description</t>
  </si>
  <si>
    <t>varchar</t>
  </si>
  <si>
    <t>Table</t>
  </si>
  <si>
    <t>datetime</t>
  </si>
  <si>
    <t>Scripts</t>
  </si>
  <si>
    <t>Length</t>
  </si>
  <si>
    <t>Identity</t>
  </si>
  <si>
    <t>Sheet</t>
  </si>
  <si>
    <t>back to list</t>
  </si>
  <si>
    <t>int</t>
  </si>
  <si>
    <t>nvarchar</t>
  </si>
  <si>
    <t>ngay_tao</t>
  </si>
  <si>
    <t>nguoi_tao</t>
  </si>
  <si>
    <t>ngay_cap_nhat</t>
  </si>
  <si>
    <t>nguoi_cap_nhat</t>
  </si>
  <si>
    <t>id</t>
  </si>
  <si>
    <t>mo_ta</t>
  </si>
  <si>
    <t xml:space="preserve"> { get; set; }</t>
  </si>
  <si>
    <t xml:space="preserve"> public class </t>
  </si>
  <si>
    <t xml:space="preserve">    {</t>
  </si>
  <si>
    <t xml:space="preserve"> [AutoIncrement]</t>
  </si>
  <si>
    <t>[PrimaryKey]</t>
  </si>
  <si>
    <t>public</t>
  </si>
  <si>
    <t>}</t>
  </si>
  <si>
    <t>trang_thai</t>
  </si>
  <si>
    <t>url</t>
  </si>
  <si>
    <t>float</t>
  </si>
  <si>
    <t>)ENGINE = InnoDB;</t>
  </si>
  <si>
    <t>, PRIMARY KEY(</t>
  </si>
  <si>
    <t>)</t>
  </si>
  <si>
    <t>Status</t>
  </si>
  <si>
    <t>Note</t>
  </si>
  <si>
    <t>bit</t>
  </si>
  <si>
    <t>loai</t>
  </si>
  <si>
    <t>ghi_chu</t>
  </si>
  <si>
    <t>gia_tri</t>
  </si>
  <si>
    <t>chứng minh nhân dân</t>
  </si>
  <si>
    <t>TaiSan</t>
  </si>
  <si>
    <t>KhachHang</t>
  </si>
  <si>
    <t>sdt</t>
  </si>
  <si>
    <t>char</t>
  </si>
  <si>
    <t>ten</t>
  </si>
  <si>
    <t>ho_ten</t>
  </si>
  <si>
    <t>dia_chi</t>
  </si>
  <si>
    <t>HopDong</t>
  </si>
  <si>
    <t>ngay_cam</t>
  </si>
  <si>
    <t>ngay_het_han</t>
  </si>
  <si>
    <t>gia_thoa_thuan</t>
  </si>
  <si>
    <t>noi_cap</t>
  </si>
  <si>
    <t>ngay_cap</t>
  </si>
  <si>
    <t>ngày cấp giấy tờ</t>
  </si>
  <si>
    <t>nơi cấp giấy tờ</t>
  </si>
  <si>
    <t>ten_giay_to</t>
  </si>
  <si>
    <t>loai_giay_to</t>
  </si>
  <si>
    <t>ma_so_giay_to</t>
  </si>
  <si>
    <t>max</t>
  </si>
  <si>
    <t>ảnh chụp giấy tờ, có thể nối chuỗi nếu nhiều url</t>
  </si>
  <si>
    <t>GiayTo</t>
  </si>
  <si>
    <t>ma_giay_to_tuy_than</t>
  </si>
  <si>
    <t>anh_dai_dien</t>
  </si>
  <si>
    <t>lưu id mã giấy tờ</t>
  </si>
  <si>
    <t>ma_giay_to</t>
  </si>
  <si>
    <t>hinh_anh</t>
  </si>
  <si>
    <t>url, có thể nối chuỗi nếu nhiều ảnh</t>
  </si>
  <si>
    <t>url ảnh scan lên</t>
  </si>
  <si>
    <t>ChiTietHopDong</t>
  </si>
  <si>
    <t>sap_xep</t>
  </si>
  <si>
    <t>link</t>
  </si>
  <si>
    <t>Menu</t>
  </si>
  <si>
    <t>loai_menu</t>
  </si>
  <si>
    <t>0: menuTop, 1: menuBot</t>
  </si>
  <si>
    <t>DanhSachCuaHang</t>
  </si>
  <si>
    <t>tieu_de</t>
  </si>
  <si>
    <t>tac_gia</t>
  </si>
  <si>
    <t>noi_dung</t>
  </si>
  <si>
    <t>loai_tin</t>
  </si>
  <si>
    <t>LoaiTinTuc</t>
  </si>
  <si>
    <t>TinTuc</t>
  </si>
  <si>
    <t>lưu id bảng Loại Tin Tức</t>
  </si>
  <si>
    <t>lưu html, nếu video lưu 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</si>
</sst>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0"/>
      <color theme="1"/>
      <name val="Tahoma"/>
      <family val="2"/>
    </font>
    <font>
      <sz val="11"/>
      <color theme="1"/>
      <name val="Calibri"/>
      <family val="2"/>
      <scheme val="minor"/>
    </font>
    <font>
      <b/>
      <sz val="10"/>
      <name val="Tahoma"/>
      <family val="2"/>
    </font>
    <font>
      <sz val="10"/>
      <name val="Tahoma"/>
      <family val="2"/>
    </font>
    <font>
      <b/>
      <sz val="10"/>
      <color theme="0"/>
      <name val="Tahoma"/>
      <family val="2"/>
    </font>
    <font>
      <u/>
      <sz val="10"/>
      <color theme="10"/>
      <name val="Tahoma"/>
      <family val="2"/>
    </font>
    <font>
      <b/>
      <sz val="10"/>
      <color theme="1"/>
      <name val="Tahoma"/>
      <family val="2"/>
    </font>
    <font>
      <b/>
      <u/>
      <sz val="10"/>
      <color theme="10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4" tint="0.3999755851924192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1" fillId="0" borderId="0"/>
  </cellStyleXfs>
  <cellXfs count="33">
    <xf numFmtId="0" fontId="0" fillId="0" borderId="0" xfId="0"/>
    <xf numFmtId="0" fontId="0" fillId="2" borderId="0" xfId="0" applyFill="1"/>
    <xf numFmtId="0" fontId="3" fillId="0" borderId="0" xfId="0" applyFont="1"/>
    <xf numFmtId="0" fontId="2" fillId="0" borderId="0" xfId="0" applyFont="1"/>
    <xf numFmtId="49" fontId="2" fillId="0" borderId="0" xfId="0" applyNumberFormat="1" applyFont="1" applyAlignment="1">
      <alignment horizontal="center"/>
    </xf>
    <xf numFmtId="0" fontId="3" fillId="3" borderId="0" xfId="0" applyFont="1" applyFill="1" applyBorder="1"/>
    <xf numFmtId="0" fontId="3" fillId="0" borderId="3" xfId="0" applyFont="1" applyBorder="1"/>
    <xf numFmtId="0" fontId="3" fillId="0" borderId="4" xfId="0" applyFont="1" applyBorder="1"/>
    <xf numFmtId="0" fontId="2" fillId="0" borderId="4" xfId="0" applyFont="1" applyBorder="1"/>
    <xf numFmtId="0" fontId="4" fillId="4" borderId="5" xfId="0" applyFont="1" applyFill="1" applyBorder="1"/>
    <xf numFmtId="0" fontId="4" fillId="4" borderId="6" xfId="0" applyFont="1" applyFill="1" applyBorder="1"/>
    <xf numFmtId="0" fontId="4" fillId="4" borderId="7" xfId="0" applyFont="1" applyFill="1" applyBorder="1"/>
    <xf numFmtId="0" fontId="0" fillId="0" borderId="5" xfId="0" applyFont="1" applyBorder="1"/>
    <xf numFmtId="0" fontId="0" fillId="0" borderId="6" xfId="0" applyFont="1" applyBorder="1"/>
    <xf numFmtId="0" fontId="0" fillId="0" borderId="7" xfId="0" applyFont="1" applyBorder="1"/>
    <xf numFmtId="0" fontId="0" fillId="0" borderId="0" xfId="0" applyFont="1" applyBorder="1"/>
    <xf numFmtId="0" fontId="7" fillId="6" borderId="0" xfId="1" applyFont="1" applyFill="1"/>
    <xf numFmtId="0" fontId="0" fillId="0" borderId="6" xfId="0" applyFont="1" applyBorder="1" applyAlignment="1">
      <alignment horizontal="right"/>
    </xf>
    <xf numFmtId="0" fontId="0" fillId="0" borderId="9" xfId="0" applyFont="1" applyFill="1" applyBorder="1"/>
    <xf numFmtId="0" fontId="0" fillId="0" borderId="0" xfId="0" applyAlignment="1">
      <alignment horizontal="right" vertical="center"/>
    </xf>
    <xf numFmtId="0" fontId="3" fillId="8" borderId="0" xfId="0" applyFont="1" applyFill="1" applyBorder="1"/>
    <xf numFmtId="0" fontId="0" fillId="8" borderId="0" xfId="0" applyFill="1"/>
    <xf numFmtId="0" fontId="3" fillId="8" borderId="2" xfId="0" quotePrefix="1" applyFont="1" applyFill="1" applyBorder="1"/>
    <xf numFmtId="0" fontId="0" fillId="0" borderId="10" xfId="0" applyBorder="1"/>
    <xf numFmtId="0" fontId="5" fillId="0" borderId="10" xfId="1" applyBorder="1"/>
    <xf numFmtId="0" fontId="0" fillId="7" borderId="10" xfId="0" applyFill="1" applyBorder="1"/>
    <xf numFmtId="0" fontId="6" fillId="5" borderId="10" xfId="0" applyFont="1" applyFill="1" applyBorder="1" applyAlignment="1">
      <alignment horizontal="center" vertical="center"/>
    </xf>
    <xf numFmtId="0" fontId="0" fillId="0" borderId="0" xfId="0" applyFont="1" applyFill="1" applyBorder="1"/>
    <xf numFmtId="0" fontId="0" fillId="0" borderId="5" xfId="0" applyFont="1" applyFill="1" applyBorder="1"/>
    <xf numFmtId="0" fontId="0" fillId="0" borderId="0" xfId="0" applyFont="1" applyBorder="1" applyAlignment="1">
      <alignment horizontal="right"/>
    </xf>
    <xf numFmtId="0" fontId="2" fillId="9" borderId="1" xfId="0" applyFont="1" applyFill="1" applyBorder="1" applyAlignment="1">
      <alignment horizontal="center"/>
    </xf>
    <xf numFmtId="0" fontId="2" fillId="9" borderId="8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right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E69"/>
  <sheetViews>
    <sheetView showGridLines="0" tabSelected="1" workbookViewId="0">
      <selection activeCell="D16" sqref="D16"/>
    </sheetView>
  </sheetViews>
  <sheetFormatPr defaultRowHeight="12.75" x14ac:dyDescent="0.2"/>
  <cols>
    <col min="1" max="1" width="32.140625" bestFit="1" customWidth="1"/>
    <col min="2" max="2" width="9.42578125" bestFit="1" customWidth="1"/>
    <col min="3" max="3" width="47.42578125" bestFit="1" customWidth="1"/>
    <col min="4" max="4" width="8.85546875" bestFit="1" customWidth="1"/>
  </cols>
  <sheetData>
    <row r="1" spans="1:5" x14ac:dyDescent="0.2">
      <c r="A1" s="26" t="s">
        <v>8</v>
      </c>
      <c r="B1" s="26" t="s">
        <v>13</v>
      </c>
      <c r="C1" s="26" t="s">
        <v>6</v>
      </c>
      <c r="D1" s="26" t="s">
        <v>36</v>
      </c>
      <c r="E1" s="26" t="s">
        <v>37</v>
      </c>
    </row>
    <row r="2" spans="1:5" x14ac:dyDescent="0.2">
      <c r="A2" s="23" t="str">
        <f t="array" aca="1" ref="A2" ca="1">IFERROR(INDEX(MID(Sheets,FIND("]",Sheets)+1,255),SMALL(IF(MID(Sheets,FIND("]",Sheets)+1,255)&lt;&gt;MID(CELL("filename",A1),FIND("]",CELL("filename",A1))+1,255),ROW(INDIRECT("$A$1:$A$"&amp;COUNTA(MID(Sheets,FIND("]",Sheets)+1,255))))),ROW(1:1)),1),"")</f>
        <v>Menu</v>
      </c>
      <c r="B2" s="24" t="str">
        <f ca="1">HYPERLINK("#'" &amp; A2 &amp; "'!A1", "GotoSheet")</f>
        <v>GotoSheet</v>
      </c>
      <c r="C2" s="23"/>
      <c r="D2" s="23"/>
      <c r="E2" s="23"/>
    </row>
    <row r="3" spans="1:5" x14ac:dyDescent="0.2">
      <c r="A3" s="23" t="str">
        <f t="array" aca="1" ref="A3" ca="1">IFERROR(INDEX(MID(Sheets,FIND("]",Sheets)+1,255),SMALL(IF(MID(Sheets,FIND("]",Sheets)+1,255)&lt;&gt;MID(CELL("filename",A2),FIND("]",CELL("filename",A2))+1,255),ROW(INDIRECT("$A$1:$A$"&amp;COUNTA(MID(Sheets,FIND("]",Sheets)+1,255))))),ROW(2:2)),1),"")</f>
        <v>TinTuc</v>
      </c>
      <c r="B3" s="24" t="str">
        <f t="shared" ref="B3:B15" ca="1" si="0">HYPERLINK("#'" &amp; A3 &amp; "'!A1", "GotoSheet")</f>
        <v>GotoSheet</v>
      </c>
      <c r="C3" s="25"/>
      <c r="D3" s="23"/>
      <c r="E3" s="23"/>
    </row>
    <row r="4" spans="1:5" x14ac:dyDescent="0.2">
      <c r="A4" s="23" t="str">
        <f t="array" aca="1" ref="A4" ca="1">IFERROR(INDEX(MID(Sheets,FIND("]",Sheets)+1,255),SMALL(IF(MID(Sheets,FIND("]",Sheets)+1,255)&lt;&gt;MID(CELL("filename",A3),FIND("]",CELL("filename",A3))+1,255),ROW(INDIRECT("$A$1:$A$"&amp;COUNTA(MID(Sheets,FIND("]",Sheets)+1,255))))),ROW(3:3)),1),"")</f>
        <v>LoaiTinTuc</v>
      </c>
      <c r="B4" s="24" t="str">
        <f t="shared" ca="1" si="0"/>
        <v>GotoSheet</v>
      </c>
      <c r="C4" s="23"/>
      <c r="D4" s="23"/>
      <c r="E4" s="23"/>
    </row>
    <row r="5" spans="1:5" x14ac:dyDescent="0.2">
      <c r="A5" s="23" t="str">
        <f t="array" aca="1" ref="A5" ca="1">IFERROR(INDEX(MID(Sheets,FIND("]",Sheets)+1,255),SMALL(IF(MID(Sheets,FIND("]",Sheets)+1,255)&lt;&gt;MID(CELL("filename",A4),FIND("]",CELL("filename",A4))+1,255),ROW(INDIRECT("$A$1:$A$"&amp;COUNTA(MID(Sheets,FIND("]",Sheets)+1,255))))),ROW(4:4)),1),"")</f>
        <v>DanhSachCuaHang</v>
      </c>
      <c r="B5" s="24" t="str">
        <f t="shared" ca="1" si="0"/>
        <v>GotoSheet</v>
      </c>
      <c r="C5" s="23"/>
      <c r="D5" s="23"/>
      <c r="E5" s="23"/>
    </row>
    <row r="6" spans="1:5" x14ac:dyDescent="0.2">
      <c r="A6" s="23" t="str">
        <f t="array" aca="1" ref="A6" ca="1">IFERROR(INDEX(MID(Sheets,FIND("]",Sheets)+1,255),SMALL(IF(MID(Sheets,FIND("]",Sheets)+1,255)&lt;&gt;MID(CELL("filename",A5),FIND("]",CELL("filename",A5))+1,255),ROW(INDIRECT("$A$1:$A$"&amp;COUNTA(MID(Sheets,FIND("]",Sheets)+1,255))))),ROW(5:5)),1),"")</f>
        <v>KhachHang</v>
      </c>
      <c r="B6" s="24" t="str">
        <f t="shared" ca="1" si="0"/>
        <v>GotoSheet</v>
      </c>
      <c r="C6" s="23"/>
      <c r="D6" s="23"/>
      <c r="E6" s="23"/>
    </row>
    <row r="7" spans="1:5" x14ac:dyDescent="0.2">
      <c r="A7" s="23" t="str">
        <f t="array" aca="1" ref="A7" ca="1">IFERROR(INDEX(MID(Sheets,FIND("]",Sheets)+1,255),SMALL(IF(MID(Sheets,FIND("]",Sheets)+1,255)&lt;&gt;MID(CELL("filename",A6),FIND("]",CELL("filename",A6))+1,255),ROW(INDIRECT("$A$1:$A$"&amp;COUNTA(MID(Sheets,FIND("]",Sheets)+1,255))))),ROW(6:6)),1),"")</f>
        <v>GiayTo</v>
      </c>
      <c r="B7" s="24" t="str">
        <f t="shared" ca="1" si="0"/>
        <v>GotoSheet</v>
      </c>
      <c r="C7" s="23"/>
      <c r="D7" s="23"/>
      <c r="E7" s="23"/>
    </row>
    <row r="8" spans="1:5" x14ac:dyDescent="0.2">
      <c r="A8" s="23" t="str">
        <f t="array" aca="1" ref="A8" ca="1">IFERROR(INDEX(MID(Sheets,FIND("]",Sheets)+1,255),SMALL(IF(MID(Sheets,FIND("]",Sheets)+1,255)&lt;&gt;MID(CELL("filename",A7),FIND("]",CELL("filename",A7))+1,255),ROW(INDIRECT("$A$1:$A$"&amp;COUNTA(MID(Sheets,FIND("]",Sheets)+1,255))))),ROW(7:7)),1),"")</f>
        <v>TaiSan</v>
      </c>
      <c r="B8" s="24" t="str">
        <f t="shared" ca="1" si="0"/>
        <v>GotoSheet</v>
      </c>
      <c r="C8" s="23"/>
      <c r="D8" s="23"/>
      <c r="E8" s="23"/>
    </row>
    <row r="9" spans="1:5" x14ac:dyDescent="0.2">
      <c r="A9" s="23" t="str">
        <f t="array" aca="1" ref="A9" ca="1">IFERROR(INDEX(MID(Sheets,FIND("]",Sheets)+1,255),SMALL(IF(MID(Sheets,FIND("]",Sheets)+1,255)&lt;&gt;MID(CELL("filename",A8),FIND("]",CELL("filename",A8))+1,255),ROW(INDIRECT("$A$1:$A$"&amp;COUNTA(MID(Sheets,FIND("]",Sheets)+1,255))))),ROW(8:8)),1),"")</f>
        <v>HopDong</v>
      </c>
      <c r="B9" s="24" t="str">
        <f t="shared" ca="1" si="0"/>
        <v>GotoSheet</v>
      </c>
      <c r="C9" s="23"/>
      <c r="D9" s="23"/>
      <c r="E9" s="23"/>
    </row>
    <row r="10" spans="1:5" x14ac:dyDescent="0.2">
      <c r="A10" s="23" t="str">
        <f t="array" aca="1" ref="A10" ca="1">IFERROR(INDEX(MID(Sheets,FIND("]",Sheets)+1,255),SMALL(IF(MID(Sheets,FIND("]",Sheets)+1,255)&lt;&gt;MID(CELL("filename",A9),FIND("]",CELL("filename",A9))+1,255),ROW(INDIRECT("$A$1:$A$"&amp;COUNTA(MID(Sheets,FIND("]",Sheets)+1,255))))),ROW(9:9)),1),"")</f>
        <v>ChiTietHopDong</v>
      </c>
      <c r="B10" s="24" t="str">
        <f t="shared" ca="1" si="0"/>
        <v>GotoSheet</v>
      </c>
      <c r="C10" s="23"/>
      <c r="D10" s="23"/>
      <c r="E10" s="23"/>
    </row>
    <row r="11" spans="1:5" x14ac:dyDescent="0.2">
      <c r="A11" s="23" t="str">
        <f t="array" aca="1" ref="A11" ca="1">IFERROR(INDEX(MID(Sheets,FIND("]",Sheets)+1,255),SMALL(IF(MID(Sheets,FIND("]",Sheets)+1,255)&lt;&gt;MID(CELL("filename",A10),FIND("]",CELL("filename",A10))+1,255),ROW(INDIRECT("$A$1:$A$"&amp;COUNTA(MID(Sheets,FIND("]",Sheets)+1,255))))),ROW(10:10)),1),"")</f>
        <v/>
      </c>
      <c r="B11" s="24" t="str">
        <f ca="1">HYPERLINK("#'" &amp; A11 &amp; "'!A1", "GotoSheet")</f>
        <v>GotoSheet</v>
      </c>
      <c r="C11" s="23"/>
      <c r="D11" s="23"/>
      <c r="E11" s="23"/>
    </row>
    <row r="12" spans="1:5" x14ac:dyDescent="0.2">
      <c r="A12" s="23" t="str">
        <f t="array" aca="1" ref="A12" ca="1">IFERROR(INDEX(MID(Sheets,FIND("]",Sheets)+1,255),SMALL(IF(MID(Sheets,FIND("]",Sheets)+1,255)&lt;&gt;MID(CELL("filename",A11),FIND("]",CELL("filename",A11))+1,255),ROW(INDIRECT("$A$1:$A$"&amp;COUNTA(MID(Sheets,FIND("]",Sheets)+1,255))))),ROW(11:11)),1),"")</f>
        <v/>
      </c>
      <c r="B12" s="24" t="str">
        <f t="shared" ca="1" si="0"/>
        <v>GotoSheet</v>
      </c>
      <c r="C12" s="23"/>
      <c r="D12" s="23"/>
      <c r="E12" s="23"/>
    </row>
    <row r="13" spans="1:5" x14ac:dyDescent="0.2">
      <c r="A13" s="23" t="str">
        <f t="array" aca="1" ref="A13" ca="1">IFERROR(INDEX(MID(Sheets,FIND("]",Sheets)+1,255),SMALL(IF(MID(Sheets,FIND("]",Sheets)+1,255)&lt;&gt;MID(CELL("filename",A12),FIND("]",CELL("filename",A12))+1,255),ROW(INDIRECT("$A$1:$A$"&amp;COUNTA(MID(Sheets,FIND("]",Sheets)+1,255))))),ROW(12:12)),1),"")</f>
        <v/>
      </c>
      <c r="B13" s="24" t="str">
        <f t="shared" ca="1" si="0"/>
        <v>GotoSheet</v>
      </c>
      <c r="C13" s="23"/>
      <c r="D13" s="23"/>
      <c r="E13" s="23"/>
    </row>
    <row r="14" spans="1:5" x14ac:dyDescent="0.2">
      <c r="A14" s="23" t="str">
        <f t="array" aca="1" ref="A14" ca="1">IFERROR(INDEX(MID(Sheets,FIND("]",Sheets)+1,255),SMALL(IF(MID(Sheets,FIND("]",Sheets)+1,255)&lt;&gt;MID(CELL("filename",A13),FIND("]",CELL("filename",A13))+1,255),ROW(INDIRECT("$A$1:$A$"&amp;COUNTA(MID(Sheets,FIND("]",Sheets)+1,255))))),ROW(13:13)),1),"")</f>
        <v/>
      </c>
      <c r="B14" s="24" t="str">
        <f t="shared" ca="1" si="0"/>
        <v>GotoSheet</v>
      </c>
      <c r="C14" s="23"/>
      <c r="D14" s="23"/>
      <c r="E14" s="23"/>
    </row>
    <row r="15" spans="1:5" x14ac:dyDescent="0.2">
      <c r="A15" s="23" t="str">
        <f t="array" aca="1" ref="A15" ca="1">IFERROR(INDEX(MID(Sheets,FIND("]",Sheets)+1,255),SMALL(IF(MID(Sheets,FIND("]",Sheets)+1,255)&lt;&gt;MID(CELL("filename",A14),FIND("]",CELL("filename",A14))+1,255),ROW(INDIRECT("$A$1:$A$"&amp;COUNTA(MID(Sheets,FIND("]",Sheets)+1,255))))),ROW(14:14)),1),"")</f>
        <v/>
      </c>
      <c r="B15" s="24" t="str">
        <f t="shared" ca="1" si="0"/>
        <v>GotoSheet</v>
      </c>
      <c r="C15" s="23"/>
      <c r="D15" s="23"/>
      <c r="E15" s="23"/>
    </row>
    <row r="16" spans="1:5" x14ac:dyDescent="0.2">
      <c r="A16" s="23" t="str">
        <f t="array" aca="1" ref="A16" ca="1">IFERROR(INDEX(MID(Sheets,FIND("]",Sheets)+1,255),SMALL(IF(MID(Sheets,FIND("]",Sheets)+1,255)&lt;&gt;MID(CELL("filename",A15),FIND("]",CELL("filename",A15))+1,255),ROW(INDIRECT("$A$1:$A$"&amp;COUNTA(MID(Sheets,FIND("]",Sheets)+1,255))))),ROW(15:15)),1),"")</f>
        <v/>
      </c>
      <c r="B16" s="24"/>
      <c r="C16" s="23"/>
      <c r="D16" s="23"/>
      <c r="E16" s="23"/>
    </row>
    <row r="17" spans="1:5" x14ac:dyDescent="0.2">
      <c r="A17" s="23"/>
      <c r="B17" s="24"/>
      <c r="C17" s="23"/>
      <c r="D17" s="23"/>
      <c r="E17" s="23"/>
    </row>
    <row r="18" spans="1:5" x14ac:dyDescent="0.2">
      <c r="A18" s="23"/>
      <c r="B18" s="24"/>
      <c r="C18" s="23"/>
      <c r="D18" s="23"/>
      <c r="E18" s="23"/>
    </row>
    <row r="19" spans="1:5" x14ac:dyDescent="0.2">
      <c r="A19" s="23"/>
      <c r="B19" s="24"/>
      <c r="C19" s="23"/>
      <c r="D19" s="23"/>
      <c r="E19" s="23"/>
    </row>
    <row r="20" spans="1:5" x14ac:dyDescent="0.2">
      <c r="A20" s="23"/>
      <c r="B20" s="24"/>
      <c r="C20" s="23"/>
      <c r="D20" s="23"/>
      <c r="E20" s="23"/>
    </row>
    <row r="21" spans="1:5" x14ac:dyDescent="0.2">
      <c r="A21" s="23"/>
      <c r="B21" s="24"/>
      <c r="C21" s="23"/>
      <c r="D21" s="23"/>
      <c r="E21" s="23"/>
    </row>
    <row r="22" spans="1:5" x14ac:dyDescent="0.2">
      <c r="A22" s="23"/>
      <c r="B22" s="24"/>
      <c r="C22" s="23"/>
      <c r="D22" s="23"/>
      <c r="E22" s="23"/>
    </row>
    <row r="23" spans="1:5" x14ac:dyDescent="0.2">
      <c r="A23" s="23"/>
      <c r="B23" s="24"/>
      <c r="C23" s="23"/>
      <c r="D23" s="23"/>
      <c r="E23" s="23"/>
    </row>
    <row r="24" spans="1:5" x14ac:dyDescent="0.2">
      <c r="A24" s="23"/>
      <c r="B24" s="24"/>
      <c r="C24" s="23"/>
      <c r="D24" s="23"/>
      <c r="E24" s="23"/>
    </row>
    <row r="25" spans="1:5" x14ac:dyDescent="0.2">
      <c r="A25" s="23"/>
      <c r="B25" s="24"/>
      <c r="C25" s="23"/>
      <c r="D25" s="23"/>
      <c r="E25" s="23"/>
    </row>
    <row r="26" spans="1:5" x14ac:dyDescent="0.2">
      <c r="A26" s="23"/>
      <c r="B26" s="24"/>
      <c r="C26" s="23"/>
      <c r="D26" s="23"/>
      <c r="E26" s="23"/>
    </row>
    <row r="27" spans="1:5" x14ac:dyDescent="0.2">
      <c r="A27" s="23"/>
      <c r="B27" s="24"/>
      <c r="C27" s="23"/>
      <c r="D27" s="23"/>
      <c r="E27" s="23"/>
    </row>
    <row r="28" spans="1:5" x14ac:dyDescent="0.2">
      <c r="A28" s="23"/>
      <c r="B28" s="24"/>
      <c r="C28" s="23"/>
      <c r="D28" s="23"/>
      <c r="E28" s="23"/>
    </row>
    <row r="29" spans="1:5" x14ac:dyDescent="0.2">
      <c r="A29" s="23"/>
      <c r="B29" s="24"/>
      <c r="C29" s="23"/>
      <c r="D29" s="23"/>
      <c r="E29" s="23"/>
    </row>
    <row r="30" spans="1:5" x14ac:dyDescent="0.2">
      <c r="A30" s="23"/>
      <c r="B30" s="24"/>
      <c r="C30" s="23"/>
      <c r="D30" s="23"/>
      <c r="E30" s="23"/>
    </row>
    <row r="31" spans="1:5" x14ac:dyDescent="0.2">
      <c r="A31" s="23"/>
      <c r="B31" s="24"/>
      <c r="C31" s="23"/>
      <c r="D31" s="23"/>
      <c r="E31" s="23"/>
    </row>
    <row r="32" spans="1:5" x14ac:dyDescent="0.2">
      <c r="A32" s="23"/>
      <c r="B32" s="24"/>
      <c r="C32" s="23"/>
      <c r="D32" s="23"/>
      <c r="E32" s="23"/>
    </row>
    <row r="33" spans="1:5" x14ac:dyDescent="0.2">
      <c r="A33" s="23"/>
      <c r="B33" s="24"/>
      <c r="C33" s="23"/>
      <c r="D33" s="23"/>
      <c r="E33" s="23"/>
    </row>
    <row r="34" spans="1:5" x14ac:dyDescent="0.2">
      <c r="A34" s="23"/>
      <c r="B34" s="24"/>
      <c r="C34" s="23"/>
      <c r="D34" s="23"/>
      <c r="E34" s="23"/>
    </row>
    <row r="35" spans="1:5" x14ac:dyDescent="0.2">
      <c r="A35" s="23"/>
      <c r="B35" s="24"/>
      <c r="C35" s="23"/>
      <c r="D35" s="23"/>
      <c r="E35" s="23"/>
    </row>
    <row r="36" spans="1:5" x14ac:dyDescent="0.2">
      <c r="A36" s="23"/>
      <c r="B36" s="24"/>
      <c r="C36" s="23"/>
      <c r="D36" s="23"/>
      <c r="E36" s="23"/>
    </row>
    <row r="37" spans="1:5" x14ac:dyDescent="0.2">
      <c r="A37" s="23"/>
      <c r="B37" s="24"/>
      <c r="C37" s="23"/>
      <c r="D37" s="23"/>
      <c r="E37" s="23"/>
    </row>
    <row r="38" spans="1:5" x14ac:dyDescent="0.2">
      <c r="A38" s="23"/>
      <c r="B38" s="24"/>
      <c r="C38" s="23"/>
      <c r="D38" s="23"/>
      <c r="E38" s="23"/>
    </row>
    <row r="39" spans="1:5" x14ac:dyDescent="0.2">
      <c r="A39" s="23"/>
      <c r="B39" s="24"/>
      <c r="C39" s="23"/>
      <c r="D39" s="23"/>
      <c r="E39" s="23"/>
    </row>
    <row r="40" spans="1:5" x14ac:dyDescent="0.2">
      <c r="A40" s="23"/>
      <c r="B40" s="24"/>
      <c r="C40" s="23"/>
      <c r="D40" s="23"/>
      <c r="E40" s="23"/>
    </row>
    <row r="41" spans="1:5" x14ac:dyDescent="0.2">
      <c r="A41" s="23"/>
      <c r="B41" s="24"/>
      <c r="C41" s="23"/>
      <c r="D41" s="23"/>
      <c r="E41" s="23"/>
    </row>
    <row r="42" spans="1:5" x14ac:dyDescent="0.2">
      <c r="A42" s="23"/>
      <c r="B42" s="24"/>
      <c r="C42" s="23"/>
      <c r="D42" s="23"/>
      <c r="E42" s="23"/>
    </row>
    <row r="43" spans="1:5" x14ac:dyDescent="0.2">
      <c r="A43" s="23"/>
      <c r="B43" s="23"/>
      <c r="C43" s="23"/>
      <c r="D43" s="23"/>
      <c r="E43" s="23"/>
    </row>
    <row r="44" spans="1:5" x14ac:dyDescent="0.2">
      <c r="A44" s="23"/>
      <c r="B44" s="23"/>
      <c r="C44" s="23"/>
      <c r="D44" s="23"/>
      <c r="E44" s="23"/>
    </row>
    <row r="45" spans="1:5" x14ac:dyDescent="0.2">
      <c r="A45" s="23"/>
      <c r="B45" s="23"/>
      <c r="C45" s="23"/>
      <c r="D45" s="23"/>
      <c r="E45" s="23"/>
    </row>
    <row r="46" spans="1:5" x14ac:dyDescent="0.2">
      <c r="A46" s="23"/>
      <c r="B46" s="23"/>
      <c r="C46" s="23"/>
      <c r="D46" s="23"/>
      <c r="E46" s="23"/>
    </row>
    <row r="47" spans="1:5" x14ac:dyDescent="0.2">
      <c r="A47" s="23"/>
      <c r="B47" s="23"/>
      <c r="C47" s="23"/>
      <c r="D47" s="23"/>
      <c r="E47" s="23"/>
    </row>
    <row r="48" spans="1:5" x14ac:dyDescent="0.2">
      <c r="A48" s="23"/>
      <c r="B48" s="23"/>
      <c r="C48" s="23"/>
      <c r="D48" s="23"/>
      <c r="E48" s="23"/>
    </row>
    <row r="49" spans="1:5" x14ac:dyDescent="0.2">
      <c r="A49" s="23"/>
      <c r="B49" s="23"/>
      <c r="C49" s="23"/>
      <c r="D49" s="23"/>
      <c r="E49" s="23"/>
    </row>
    <row r="50" spans="1:5" x14ac:dyDescent="0.2">
      <c r="A50" s="23"/>
      <c r="B50" s="23"/>
      <c r="C50" s="23"/>
      <c r="D50" s="23"/>
      <c r="E50" s="23"/>
    </row>
    <row r="51" spans="1:5" x14ac:dyDescent="0.2">
      <c r="A51" s="23"/>
      <c r="B51" s="23"/>
      <c r="C51" s="23"/>
      <c r="D51" s="23"/>
      <c r="E51" s="23"/>
    </row>
    <row r="52" spans="1:5" x14ac:dyDescent="0.2">
      <c r="A52" s="23"/>
      <c r="B52" s="23"/>
      <c r="C52" s="23"/>
      <c r="D52" s="23"/>
      <c r="E52" s="23"/>
    </row>
    <row r="53" spans="1:5" x14ac:dyDescent="0.2">
      <c r="A53" s="23"/>
      <c r="B53" s="23"/>
      <c r="C53" s="23"/>
      <c r="D53" s="23"/>
      <c r="E53" s="23"/>
    </row>
    <row r="54" spans="1:5" x14ac:dyDescent="0.2">
      <c r="A54" s="23"/>
      <c r="B54" s="23"/>
      <c r="C54" s="23"/>
      <c r="D54" s="23"/>
      <c r="E54" s="23"/>
    </row>
    <row r="55" spans="1:5" x14ac:dyDescent="0.2">
      <c r="A55" s="23"/>
      <c r="B55" s="23"/>
      <c r="C55" s="23"/>
      <c r="D55" s="23"/>
      <c r="E55" s="23"/>
    </row>
    <row r="56" spans="1:5" x14ac:dyDescent="0.2">
      <c r="A56" s="23"/>
      <c r="B56" s="23"/>
      <c r="C56" s="23"/>
      <c r="D56" s="23"/>
      <c r="E56" s="23"/>
    </row>
    <row r="57" spans="1:5" x14ac:dyDescent="0.2">
      <c r="A57" s="23"/>
      <c r="B57" s="23"/>
      <c r="C57" s="23"/>
      <c r="D57" s="23"/>
      <c r="E57" s="23"/>
    </row>
    <row r="58" spans="1:5" x14ac:dyDescent="0.2">
      <c r="A58" s="23"/>
      <c r="B58" s="23"/>
      <c r="C58" s="23"/>
      <c r="D58" s="23"/>
      <c r="E58" s="23"/>
    </row>
    <row r="59" spans="1:5" x14ac:dyDescent="0.2">
      <c r="A59" s="23"/>
      <c r="B59" s="23"/>
      <c r="C59" s="23"/>
      <c r="D59" s="23"/>
      <c r="E59" s="23"/>
    </row>
    <row r="60" spans="1:5" x14ac:dyDescent="0.2">
      <c r="A60" s="23"/>
      <c r="B60" s="23"/>
      <c r="C60" s="23"/>
      <c r="D60" s="23"/>
      <c r="E60" s="23"/>
    </row>
    <row r="61" spans="1:5" x14ac:dyDescent="0.2">
      <c r="A61" s="23"/>
      <c r="B61" s="23"/>
      <c r="C61" s="23"/>
      <c r="D61" s="23"/>
      <c r="E61" s="23"/>
    </row>
    <row r="62" spans="1:5" x14ac:dyDescent="0.2">
      <c r="A62" s="23"/>
      <c r="B62" s="23"/>
      <c r="C62" s="23"/>
      <c r="D62" s="23"/>
      <c r="E62" s="23"/>
    </row>
    <row r="63" spans="1:5" x14ac:dyDescent="0.2">
      <c r="A63" s="23"/>
      <c r="B63" s="23"/>
      <c r="C63" s="23"/>
      <c r="D63" s="23"/>
      <c r="E63" s="23"/>
    </row>
    <row r="64" spans="1:5" x14ac:dyDescent="0.2">
      <c r="A64" s="23"/>
      <c r="B64" s="23"/>
      <c r="C64" s="23"/>
      <c r="D64" s="23"/>
      <c r="E64" s="23"/>
    </row>
    <row r="65" spans="1:5" x14ac:dyDescent="0.2">
      <c r="A65" s="23"/>
      <c r="B65" s="23"/>
      <c r="C65" s="23"/>
      <c r="D65" s="23"/>
      <c r="E65" s="23"/>
    </row>
    <row r="66" spans="1:5" x14ac:dyDescent="0.2">
      <c r="A66" s="23"/>
      <c r="B66" s="23"/>
      <c r="C66" s="23"/>
      <c r="D66" s="23"/>
      <c r="E66" s="23"/>
    </row>
    <row r="67" spans="1:5" x14ac:dyDescent="0.2">
      <c r="A67" s="23"/>
      <c r="B67" s="23"/>
      <c r="C67" s="23"/>
      <c r="D67" s="23"/>
      <c r="E67" s="23"/>
    </row>
    <row r="68" spans="1:5" x14ac:dyDescent="0.2">
      <c r="A68" s="23"/>
      <c r="B68" s="23"/>
      <c r="C68" s="23"/>
      <c r="D68" s="23"/>
      <c r="E68" s="23"/>
    </row>
    <row r="69" spans="1:5" x14ac:dyDescent="0.2">
      <c r="A69" s="23"/>
      <c r="B69" s="23"/>
      <c r="C69" s="23"/>
      <c r="D69" s="23"/>
      <c r="E69" s="23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70C0"/>
  </sheetPr>
  <dimension ref="A1:L53"/>
  <sheetViews>
    <sheetView topLeftCell="A10" workbookViewId="0">
      <selection activeCell="C25" sqref="C25"/>
    </sheetView>
  </sheetViews>
  <sheetFormatPr defaultRowHeight="12.75" x14ac:dyDescent="0.2"/>
  <cols>
    <col min="1" max="1" width="23.85546875" customWidth="1"/>
    <col min="2" max="2" width="29.7109375" customWidth="1"/>
    <col min="3" max="3" width="35.28515625" bestFit="1" customWidth="1"/>
    <col min="4" max="4" width="12.140625" bestFit="1" customWidth="1"/>
    <col min="5" max="5" width="19.28515625" bestFit="1" customWidth="1"/>
    <col min="6" max="6" width="10.140625" customWidth="1"/>
    <col min="7" max="8" width="10.42578125" bestFit="1" customWidth="1"/>
    <col min="9" max="9" width="50.7109375" bestFit="1" customWidth="1"/>
    <col min="10" max="10" width="9" customWidth="1"/>
    <col min="14" max="14" width="3" bestFit="1" customWidth="1"/>
    <col min="15" max="26" width="15.7109375" customWidth="1"/>
  </cols>
  <sheetData>
    <row r="1" spans="1:12" x14ac:dyDescent="0.2">
      <c r="A1" s="1" t="s">
        <v>8</v>
      </c>
      <c r="B1" s="1" t="s">
        <v>74</v>
      </c>
      <c r="D1" s="16" t="s">
        <v>14</v>
      </c>
    </row>
    <row r="3" spans="1:12" x14ac:dyDescent="0.2">
      <c r="A3" s="9" t="s">
        <v>0</v>
      </c>
      <c r="B3" s="10" t="s">
        <v>1</v>
      </c>
      <c r="C3" s="10" t="s">
        <v>11</v>
      </c>
      <c r="D3" s="10" t="s">
        <v>2</v>
      </c>
      <c r="E3" s="10" t="s">
        <v>3</v>
      </c>
      <c r="F3" s="10" t="s">
        <v>4</v>
      </c>
      <c r="G3" s="10" t="s">
        <v>5</v>
      </c>
      <c r="H3" s="10" t="s">
        <v>12</v>
      </c>
      <c r="I3" s="11" t="s">
        <v>6</v>
      </c>
      <c r="J3" s="15"/>
    </row>
    <row r="4" spans="1:12" x14ac:dyDescent="0.2">
      <c r="A4" s="28" t="s">
        <v>21</v>
      </c>
      <c r="B4" s="13" t="s">
        <v>15</v>
      </c>
      <c r="C4" s="17"/>
      <c r="D4" s="13" t="b">
        <v>1</v>
      </c>
      <c r="E4" s="13"/>
      <c r="F4" s="13" t="b">
        <v>0</v>
      </c>
      <c r="G4" s="13"/>
      <c r="H4" s="13" t="b">
        <v>1</v>
      </c>
      <c r="I4" s="14"/>
      <c r="J4" s="15"/>
    </row>
    <row r="5" spans="1:12" x14ac:dyDescent="0.2">
      <c r="A5" s="28" t="s">
        <v>47</v>
      </c>
      <c r="B5" s="13" t="s">
        <v>16</v>
      </c>
      <c r="C5" s="17">
        <v>64</v>
      </c>
      <c r="D5" s="13"/>
      <c r="E5" s="13"/>
      <c r="F5" s="13" t="b">
        <v>0</v>
      </c>
      <c r="G5" s="13"/>
      <c r="H5" s="13"/>
      <c r="I5" s="14"/>
      <c r="J5" s="15"/>
    </row>
    <row r="6" spans="1:12" x14ac:dyDescent="0.2">
      <c r="A6" s="12" t="s">
        <v>73</v>
      </c>
      <c r="B6" s="27" t="s">
        <v>16</v>
      </c>
      <c r="C6" s="17">
        <v>128</v>
      </c>
      <c r="D6" s="13"/>
      <c r="E6" s="13"/>
      <c r="F6" s="13" t="b">
        <v>0</v>
      </c>
      <c r="G6" s="13"/>
      <c r="H6" s="13"/>
      <c r="I6" s="14"/>
      <c r="J6" s="15"/>
    </row>
    <row r="7" spans="1:12" x14ac:dyDescent="0.2">
      <c r="A7" s="28" t="s">
        <v>72</v>
      </c>
      <c r="B7" s="13" t="s">
        <v>15</v>
      </c>
      <c r="C7" s="17"/>
      <c r="D7" s="13"/>
      <c r="E7" s="13"/>
      <c r="F7" s="13" t="b">
        <v>0</v>
      </c>
      <c r="G7" s="13">
        <v>1</v>
      </c>
      <c r="H7" s="13"/>
      <c r="I7" s="14"/>
      <c r="J7" s="15"/>
    </row>
    <row r="8" spans="1:12" x14ac:dyDescent="0.2">
      <c r="A8" s="18" t="s">
        <v>75</v>
      </c>
      <c r="B8" s="27" t="s">
        <v>15</v>
      </c>
      <c r="C8" s="29"/>
      <c r="D8" s="15"/>
      <c r="E8" s="15"/>
      <c r="F8" s="27" t="b">
        <v>0</v>
      </c>
      <c r="G8" s="15"/>
      <c r="H8" s="15"/>
      <c r="I8" s="15" t="s">
        <v>76</v>
      </c>
      <c r="J8" s="15"/>
    </row>
    <row r="9" spans="1:12" x14ac:dyDescent="0.2">
      <c r="A9" s="18" t="s">
        <v>30</v>
      </c>
      <c r="B9" s="27" t="s">
        <v>38</v>
      </c>
      <c r="C9" s="29"/>
      <c r="D9" s="15"/>
      <c r="E9" s="15"/>
      <c r="F9" s="27" t="b">
        <v>0</v>
      </c>
      <c r="G9" s="15" t="b">
        <v>1</v>
      </c>
      <c r="H9" s="15"/>
      <c r="I9" s="15"/>
      <c r="J9" s="15"/>
    </row>
    <row r="10" spans="1:12" x14ac:dyDescent="0.2">
      <c r="A10" s="12" t="s">
        <v>17</v>
      </c>
      <c r="B10" s="13" t="s">
        <v>9</v>
      </c>
      <c r="D10" s="13"/>
      <c r="E10" s="13"/>
      <c r="F10" s="13" t="b">
        <v>1</v>
      </c>
      <c r="G10" s="13"/>
      <c r="H10" s="13"/>
      <c r="I10" s="14"/>
      <c r="J10" s="15"/>
    </row>
    <row r="11" spans="1:12" x14ac:dyDescent="0.2">
      <c r="A11" s="12" t="s">
        <v>18</v>
      </c>
      <c r="B11" s="13" t="s">
        <v>16</v>
      </c>
      <c r="C11" s="17">
        <v>64</v>
      </c>
      <c r="D11" s="13"/>
      <c r="E11" s="13"/>
      <c r="F11" s="13" t="b">
        <v>1</v>
      </c>
      <c r="G11" s="13"/>
      <c r="H11" s="13"/>
      <c r="I11" s="14"/>
      <c r="J11" s="15"/>
    </row>
    <row r="12" spans="1:12" x14ac:dyDescent="0.2">
      <c r="A12" s="12" t="s">
        <v>19</v>
      </c>
      <c r="B12" s="13" t="s">
        <v>9</v>
      </c>
      <c r="C12" s="17"/>
      <c r="D12" s="13"/>
      <c r="E12" s="13"/>
      <c r="F12" s="13" t="b">
        <v>1</v>
      </c>
      <c r="G12" s="13"/>
      <c r="H12" s="13"/>
      <c r="I12" s="14"/>
      <c r="J12" s="15"/>
    </row>
    <row r="13" spans="1:12" x14ac:dyDescent="0.2">
      <c r="A13" s="12" t="s">
        <v>20</v>
      </c>
      <c r="B13" s="13" t="s">
        <v>16</v>
      </c>
      <c r="C13" s="17">
        <v>64</v>
      </c>
      <c r="D13" s="13"/>
      <c r="E13" s="13"/>
      <c r="F13" s="13" t="b">
        <v>1</v>
      </c>
      <c r="G13" s="13"/>
      <c r="H13" s="13"/>
      <c r="I13" s="14"/>
      <c r="J13" s="15"/>
    </row>
    <row r="14" spans="1:12" ht="13.5" thickBot="1" x14ac:dyDescent="0.25"/>
    <row r="15" spans="1:12" ht="13.5" thickBot="1" x14ac:dyDescent="0.25">
      <c r="A15" s="30" t="s">
        <v>10</v>
      </c>
      <c r="B15" s="31"/>
      <c r="C15" s="6"/>
      <c r="D15" s="7"/>
      <c r="E15" s="7"/>
      <c r="F15" s="8"/>
      <c r="G15" s="8"/>
      <c r="H15" s="8"/>
      <c r="I15" s="8"/>
      <c r="J15" s="8"/>
      <c r="K15" s="8"/>
      <c r="L15" s="8"/>
    </row>
    <row r="16" spans="1:12" s="21" customFormat="1" x14ac:dyDescent="0.2">
      <c r="A16" s="20" t="str">
        <f>"DROP TABLE IF EXISTS "&amp;$B$1&amp;";"</f>
        <v>DROP TABLE IF EXISTS Menu;</v>
      </c>
    </row>
    <row r="17" spans="1:2" s="21" customFormat="1" x14ac:dyDescent="0.2">
      <c r="A17" s="22" t="str">
        <f>"CREATE TABLE "&amp;$B$1&amp;"("</f>
        <v>CREATE TABLE Menu(</v>
      </c>
    </row>
    <row r="18" spans="1:2" s="21" customFormat="1" x14ac:dyDescent="0.2">
      <c r="B18" s="21" t="str">
        <f>A4&amp;" "&amp;B4&amp;IF(AND(B4&lt;&gt;"int",B4&lt;&gt;"bigint",B4&lt;&gt;"bit",B4&lt;&gt;"float",B4&lt;&gt;"datetime",B4&lt;&gt;"smalldatetime",B4&lt;&gt;"timestamp",B4&lt;&gt;"xml"),"("&amp;C4&amp;") "," ")&amp;""&amp;IF(F4=FALSE,"NOT NULL","NULL")&amp;IF(G4&lt;&gt;""," DEFAULT ("&amp;G4&amp;")","")&amp;IF(H4=TRUE," AUTO_INCREMENT","")&amp;IF(A5&lt;&gt;"",", ","")</f>
        <v xml:space="preserve">id int NOT NULL AUTO_INCREMENT, </v>
      </c>
    </row>
    <row r="19" spans="1:2" s="21" customFormat="1" x14ac:dyDescent="0.2">
      <c r="B19" s="21" t="str">
        <f t="shared" ref="B19:B27" si="0">A5&amp;" "&amp;B5&amp;IF(AND(B5&lt;&gt;"int",B5&lt;&gt;"bigint",B5&lt;&gt;"bit",B5&lt;&gt;"float",B5&lt;&gt;"datetime",B5&lt;&gt;"smalldatetime",B5&lt;&gt;"timestamp",B5&lt;&gt;"xml"),"("&amp;C5&amp;") "," ")&amp;""&amp;IF(F5=FALSE,"NOT NULL","NULL")&amp;IF(G5&lt;&gt;""," DEFAULT ("&amp;G5&amp;")","")&amp;IF(H5=TRUE," AUTO_INCREMENT","")&amp;IF(A6&lt;&gt;"",", ","")</f>
        <v xml:space="preserve">ten nvarchar(64) NOT NULL, </v>
      </c>
    </row>
    <row r="20" spans="1:2" s="21" customFormat="1" x14ac:dyDescent="0.2">
      <c r="B20" s="21" t="str">
        <f t="shared" si="0"/>
        <v xml:space="preserve">link nvarchar(128) NOT NULL, </v>
      </c>
    </row>
    <row r="21" spans="1:2" s="21" customFormat="1" x14ac:dyDescent="0.2">
      <c r="B21" s="21" t="str">
        <f t="shared" si="0"/>
        <v xml:space="preserve">sap_xep int NOT NULL DEFAULT (1), </v>
      </c>
    </row>
    <row r="22" spans="1:2" s="21" customFormat="1" x14ac:dyDescent="0.2">
      <c r="B22" s="21" t="str">
        <f t="shared" si="0"/>
        <v xml:space="preserve">loai_menu int NOT NULL, </v>
      </c>
    </row>
    <row r="23" spans="1:2" s="21" customFormat="1" x14ac:dyDescent="0.2">
      <c r="B23" s="21" t="str">
        <f t="shared" si="0"/>
        <v xml:space="preserve">trang_thai bit NOT NULL DEFAULT (TRUE), </v>
      </c>
    </row>
    <row r="24" spans="1:2" s="21" customFormat="1" x14ac:dyDescent="0.2">
      <c r="B24" s="21" t="str">
        <f t="shared" si="0"/>
        <v xml:space="preserve">ngay_tao datetime NULL, </v>
      </c>
    </row>
    <row r="25" spans="1:2" s="21" customFormat="1" x14ac:dyDescent="0.2">
      <c r="B25" s="21" t="str">
        <f t="shared" si="0"/>
        <v xml:space="preserve">nguoi_tao nvarchar(64) NULL, </v>
      </c>
    </row>
    <row r="26" spans="1:2" s="21" customFormat="1" x14ac:dyDescent="0.2">
      <c r="B26" s="21" t="str">
        <f t="shared" si="0"/>
        <v xml:space="preserve">ngay_cap_nhat datetime NULL, </v>
      </c>
    </row>
    <row r="27" spans="1:2" s="21" customFormat="1" x14ac:dyDescent="0.2">
      <c r="B27" s="21" t="str">
        <f t="shared" si="0"/>
        <v>nguoi_cap_nhat nvarchar(64) NULL</v>
      </c>
    </row>
    <row r="28" spans="1:2" s="21" customFormat="1" x14ac:dyDescent="0.2">
      <c r="A28" s="21" t="s">
        <v>34</v>
      </c>
    </row>
    <row r="29" spans="1:2" s="21" customFormat="1" x14ac:dyDescent="0.2">
      <c r="B29" s="5" t="str">
        <f>IF(D4=TRUE, A4&amp;IF(D5="", "", ", "), "")</f>
        <v>id</v>
      </c>
    </row>
    <row r="30" spans="1:2" s="21" customFormat="1" x14ac:dyDescent="0.2">
      <c r="B30" s="5" t="str">
        <f>IF(D5=TRUE, A5&amp;IF(D7="", "", ", "), "")</f>
        <v/>
      </c>
    </row>
    <row r="31" spans="1:2" s="21" customFormat="1" x14ac:dyDescent="0.2">
      <c r="B31" s="5" t="str">
        <f>IF(D7=TRUE, A7&amp;IF(#REF!="", "", ", "), "")</f>
        <v/>
      </c>
    </row>
    <row r="32" spans="1:2" s="21" customFormat="1" x14ac:dyDescent="0.2">
      <c r="B32" s="5" t="e">
        <f>IF(#REF!=TRUE,#REF!&amp;IF( D6="", "", ", "), "")</f>
        <v>#REF!</v>
      </c>
    </row>
    <row r="33" spans="1:12" s="21" customFormat="1" x14ac:dyDescent="0.2">
      <c r="B33" s="5" t="str">
        <f>IF(D6=TRUE, A6&amp;IF(D10="", "", ", "), "")</f>
        <v/>
      </c>
    </row>
    <row r="34" spans="1:12" s="21" customFormat="1" x14ac:dyDescent="0.2">
      <c r="B34" s="21" t="s">
        <v>35</v>
      </c>
    </row>
    <row r="35" spans="1:12" s="21" customFormat="1" x14ac:dyDescent="0.2">
      <c r="A35" s="21" t="s">
        <v>33</v>
      </c>
    </row>
    <row r="36" spans="1:12" x14ac:dyDescent="0.2">
      <c r="A36" s="2"/>
      <c r="B36" s="2"/>
      <c r="C36" s="2"/>
      <c r="D36" s="2"/>
      <c r="E36" s="2"/>
      <c r="F36" s="3"/>
      <c r="G36" s="2"/>
      <c r="H36" s="2"/>
      <c r="I36" s="4"/>
      <c r="J36" s="4"/>
      <c r="K36" s="2"/>
      <c r="L36" s="2"/>
    </row>
    <row r="37" spans="1:12" x14ac:dyDescent="0.2">
      <c r="C37" t="s">
        <v>23</v>
      </c>
    </row>
    <row r="40" spans="1:12" x14ac:dyDescent="0.2">
      <c r="A40" s="19" t="s">
        <v>24</v>
      </c>
      <c r="B40" s="19" t="str">
        <f>B1</f>
        <v>Menu</v>
      </c>
      <c r="C40" s="19"/>
    </row>
    <row r="41" spans="1:12" x14ac:dyDescent="0.2">
      <c r="A41" s="19" t="s">
        <v>25</v>
      </c>
      <c r="B41" s="19"/>
      <c r="C41" s="19"/>
    </row>
    <row r="42" spans="1:12" x14ac:dyDescent="0.2">
      <c r="A42" s="19"/>
      <c r="B42" s="19" t="s">
        <v>26</v>
      </c>
      <c r="C42" s="19"/>
    </row>
    <row r="43" spans="1:12" x14ac:dyDescent="0.2">
      <c r="A43" s="19"/>
      <c r="B43" s="19" t="s">
        <v>27</v>
      </c>
      <c r="C43" s="19"/>
    </row>
    <row r="44" spans="1:12" x14ac:dyDescent="0.2">
      <c r="A44" s="19" t="s">
        <v>28</v>
      </c>
      <c r="B44" s="19" t="str">
        <f>IF(OR($B4="nvarchar",$B4="varchar"),"string",IF($B4="datetime","DateTime",$B4))</f>
        <v>int</v>
      </c>
      <c r="C44" s="19" t="str">
        <f>$A4&amp;" "&amp;$C$37</f>
        <v>id  { get; set; }</v>
      </c>
    </row>
    <row r="45" spans="1:12" x14ac:dyDescent="0.2">
      <c r="A45" s="19" t="s">
        <v>28</v>
      </c>
      <c r="B45" s="19" t="str">
        <f>IF(OR($B5="nvarchar",$B5="varchar"),"string",IF($B5="datetime","DateTime",$B5))</f>
        <v>string</v>
      </c>
      <c r="C45" s="19" t="str">
        <f>$A5&amp;" "&amp;$C$37</f>
        <v>ten  { get; set; }</v>
      </c>
    </row>
    <row r="46" spans="1:12" x14ac:dyDescent="0.2">
      <c r="A46" s="19" t="s">
        <v>28</v>
      </c>
      <c r="B46" s="19" t="str">
        <f>IF(OR($B7="nvarchar",$B7="varchar"),"string",IF($B7="datetime","DateTime",$B7))</f>
        <v>int</v>
      </c>
      <c r="C46" s="19" t="str">
        <f>$A7&amp;" "&amp;$C$37</f>
        <v>sap_xep  { get; set; }</v>
      </c>
    </row>
    <row r="47" spans="1:12" x14ac:dyDescent="0.2">
      <c r="A47" s="19" t="s">
        <v>28</v>
      </c>
      <c r="B47" s="19" t="e">
        <f>IF(OR(#REF!="nvarchar",#REF!="varchar"),"string",IF(#REF!="datetime","DateTime",#REF!))</f>
        <v>#REF!</v>
      </c>
      <c r="C47" s="19" t="e">
        <f>#REF!&amp;" "&amp;$C$37</f>
        <v>#REF!</v>
      </c>
    </row>
    <row r="48" spans="1:12" x14ac:dyDescent="0.2">
      <c r="A48" s="19" t="s">
        <v>28</v>
      </c>
      <c r="B48" s="19" t="str">
        <f>IF(OR($B6="nvarchar",$B6="varchar"),"string",IF($B6="datetime","DateTime",$B6))</f>
        <v>string</v>
      </c>
      <c r="C48" s="19" t="str">
        <f>$A6&amp;" "&amp;$C$37</f>
        <v>link  { get; set; }</v>
      </c>
    </row>
    <row r="49" spans="1:3" x14ac:dyDescent="0.2">
      <c r="A49" s="19" t="s">
        <v>28</v>
      </c>
      <c r="B49" s="19" t="str">
        <f>IF(OR($B10="nvarchar",$B10="varchar"),"string",IF($B10="datetime","DateTime",$B10))</f>
        <v>DateTime</v>
      </c>
      <c r="C49" s="19" t="str">
        <f>$A10&amp;" "&amp;$C$37</f>
        <v>ngay_tao  { get; set; }</v>
      </c>
    </row>
    <row r="50" spans="1:3" x14ac:dyDescent="0.2">
      <c r="A50" s="19" t="s">
        <v>28</v>
      </c>
      <c r="B50" s="19" t="str">
        <f>IF(OR($B11="nvarchar",$B11="varchar"),"string",IF($B11="datetime","DateTime",$B11))</f>
        <v>string</v>
      </c>
      <c r="C50" s="19" t="str">
        <f>$A11&amp;" "&amp;$C$37</f>
        <v>nguoi_tao  { get; set; }</v>
      </c>
    </row>
    <row r="51" spans="1:3" x14ac:dyDescent="0.2">
      <c r="A51" s="19" t="s">
        <v>28</v>
      </c>
      <c r="B51" s="19" t="str">
        <f>IF(OR($B12="nvarchar",$B12="varchar"),"string",IF($B12="datetime","DateTime",$B12))</f>
        <v>DateTime</v>
      </c>
      <c r="C51" s="19" t="str">
        <f>$A12&amp;" "&amp;$C$37</f>
        <v>ngay_cap_nhat  { get; set; }</v>
      </c>
    </row>
    <row r="52" spans="1:3" x14ac:dyDescent="0.2">
      <c r="A52" s="19" t="s">
        <v>28</v>
      </c>
      <c r="B52" s="19" t="str">
        <f>IF(OR($B13="nvarchar",$B13="varchar"),"string",IF($B13="datetime","DateTime",$B13))</f>
        <v>string</v>
      </c>
      <c r="C52" s="19" t="str">
        <f>$A13&amp;" "&amp;$C$37</f>
        <v>nguoi_cap_nhat  { get; set; }</v>
      </c>
    </row>
    <row r="53" spans="1:3" x14ac:dyDescent="0.2">
      <c r="A53" s="19" t="s">
        <v>29</v>
      </c>
      <c r="B53" s="19"/>
      <c r="C53" s="19"/>
    </row>
  </sheetData>
  <mergeCells count="1">
    <mergeCell ref="A15:B15"/>
  </mergeCells>
  <hyperlinks>
    <hyperlink ref="D1" location="'Sheet List'!A1" display="back to list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70C0"/>
  </sheetPr>
  <dimension ref="A1:L52"/>
  <sheetViews>
    <sheetView workbookViewId="0">
      <selection activeCell="D11" sqref="D11"/>
    </sheetView>
  </sheetViews>
  <sheetFormatPr defaultRowHeight="12.75" x14ac:dyDescent="0.2"/>
  <cols>
    <col min="1" max="1" width="23.85546875" customWidth="1"/>
    <col min="2" max="2" width="29.7109375" customWidth="1"/>
    <col min="3" max="3" width="35.28515625" bestFit="1" customWidth="1"/>
    <col min="4" max="4" width="12.140625" bestFit="1" customWidth="1"/>
    <col min="5" max="5" width="19.28515625" bestFit="1" customWidth="1"/>
    <col min="6" max="6" width="10.140625" customWidth="1"/>
    <col min="7" max="8" width="10.42578125" bestFit="1" customWidth="1"/>
    <col min="9" max="9" width="50.7109375" bestFit="1" customWidth="1"/>
    <col min="10" max="10" width="9" customWidth="1"/>
    <col min="14" max="14" width="3" bestFit="1" customWidth="1"/>
    <col min="15" max="26" width="15.7109375" customWidth="1"/>
  </cols>
  <sheetData>
    <row r="1" spans="1:12" x14ac:dyDescent="0.2">
      <c r="A1" s="1" t="s">
        <v>8</v>
      </c>
      <c r="B1" s="1" t="s">
        <v>83</v>
      </c>
      <c r="D1" s="16" t="s">
        <v>14</v>
      </c>
    </row>
    <row r="3" spans="1:12" x14ac:dyDescent="0.2">
      <c r="A3" s="9" t="s">
        <v>0</v>
      </c>
      <c r="B3" s="10" t="s">
        <v>1</v>
      </c>
      <c r="C3" s="10" t="s">
        <v>11</v>
      </c>
      <c r="D3" s="10" t="s">
        <v>2</v>
      </c>
      <c r="E3" s="10" t="s">
        <v>3</v>
      </c>
      <c r="F3" s="10" t="s">
        <v>4</v>
      </c>
      <c r="G3" s="10" t="s">
        <v>5</v>
      </c>
      <c r="H3" s="10" t="s">
        <v>12</v>
      </c>
      <c r="I3" s="11" t="s">
        <v>6</v>
      </c>
      <c r="J3" s="15"/>
    </row>
    <row r="4" spans="1:12" x14ac:dyDescent="0.2">
      <c r="A4" s="28" t="s">
        <v>21</v>
      </c>
      <c r="B4" s="13" t="s">
        <v>15</v>
      </c>
      <c r="C4" s="17"/>
      <c r="D4" s="13" t="b">
        <v>1</v>
      </c>
      <c r="E4" s="13"/>
      <c r="F4" s="13" t="b">
        <v>0</v>
      </c>
      <c r="G4" s="13"/>
      <c r="H4" s="13" t="b">
        <v>1</v>
      </c>
      <c r="I4" s="14"/>
      <c r="J4" s="15"/>
    </row>
    <row r="5" spans="1:12" x14ac:dyDescent="0.2">
      <c r="A5" s="28" t="s">
        <v>78</v>
      </c>
      <c r="B5" s="13" t="s">
        <v>16</v>
      </c>
      <c r="C5" s="17">
        <v>128</v>
      </c>
      <c r="D5" s="13"/>
      <c r="E5" s="13"/>
      <c r="F5" s="13" t="b">
        <v>0</v>
      </c>
      <c r="G5" s="13"/>
      <c r="H5" s="13"/>
      <c r="I5" s="14"/>
      <c r="J5" s="15"/>
    </row>
    <row r="6" spans="1:12" x14ac:dyDescent="0.2">
      <c r="A6" s="28" t="s">
        <v>79</v>
      </c>
      <c r="B6" s="13" t="s">
        <v>16</v>
      </c>
      <c r="C6" s="17">
        <v>128</v>
      </c>
      <c r="D6" s="13"/>
      <c r="E6" s="13"/>
      <c r="F6" s="13" t="b">
        <v>0</v>
      </c>
      <c r="G6" s="13"/>
      <c r="H6" s="13"/>
      <c r="I6" s="14"/>
      <c r="J6" s="15"/>
    </row>
    <row r="7" spans="1:12" x14ac:dyDescent="0.2">
      <c r="A7" s="12" t="s">
        <v>80</v>
      </c>
      <c r="B7" s="13" t="s">
        <v>16</v>
      </c>
      <c r="C7" s="17" t="s">
        <v>61</v>
      </c>
      <c r="D7" s="13"/>
      <c r="E7" s="13"/>
      <c r="F7" s="13" t="b">
        <v>0</v>
      </c>
      <c r="G7" s="13"/>
      <c r="H7" s="13"/>
      <c r="I7" s="14" t="s">
        <v>85</v>
      </c>
      <c r="J7" s="15"/>
    </row>
    <row r="8" spans="1:12" x14ac:dyDescent="0.2">
      <c r="A8" s="12" t="s">
        <v>81</v>
      </c>
      <c r="B8" s="13" t="s">
        <v>15</v>
      </c>
      <c r="C8" s="17"/>
      <c r="D8" s="13"/>
      <c r="E8" s="13"/>
      <c r="F8" s="13" t="b">
        <v>0</v>
      </c>
      <c r="G8" s="13"/>
      <c r="H8" s="13"/>
      <c r="I8" s="14" t="s">
        <v>84</v>
      </c>
      <c r="J8" s="15"/>
    </row>
    <row r="9" spans="1:12" x14ac:dyDescent="0.2">
      <c r="A9" s="12" t="s">
        <v>30</v>
      </c>
      <c r="B9" s="13" t="s">
        <v>38</v>
      </c>
      <c r="C9" s="17"/>
      <c r="D9" s="13"/>
      <c r="E9" s="13"/>
      <c r="F9" s="13" t="b">
        <v>0</v>
      </c>
      <c r="G9" s="13" t="b">
        <v>1</v>
      </c>
      <c r="H9" s="13"/>
      <c r="I9" s="14"/>
      <c r="J9" s="15"/>
    </row>
    <row r="10" spans="1:12" x14ac:dyDescent="0.2">
      <c r="A10" s="12" t="s">
        <v>17</v>
      </c>
      <c r="B10" s="13" t="s">
        <v>9</v>
      </c>
      <c r="D10" s="13"/>
      <c r="F10" s="13" t="b">
        <v>1</v>
      </c>
      <c r="G10" s="13"/>
      <c r="H10" s="13"/>
      <c r="I10" s="14"/>
      <c r="J10" s="15"/>
    </row>
    <row r="11" spans="1:12" x14ac:dyDescent="0.2">
      <c r="A11" s="12" t="s">
        <v>18</v>
      </c>
      <c r="B11" s="13" t="s">
        <v>16</v>
      </c>
      <c r="C11" s="17">
        <v>64</v>
      </c>
      <c r="D11" s="13"/>
      <c r="E11" s="13"/>
      <c r="F11" s="13" t="b">
        <v>1</v>
      </c>
      <c r="G11" s="13"/>
      <c r="H11" s="13"/>
      <c r="I11" s="14"/>
      <c r="J11" s="15"/>
    </row>
    <row r="12" spans="1:12" x14ac:dyDescent="0.2">
      <c r="A12" s="12" t="s">
        <v>19</v>
      </c>
      <c r="B12" s="13" t="s">
        <v>9</v>
      </c>
      <c r="C12" s="17"/>
      <c r="D12" s="13"/>
      <c r="E12" s="13"/>
      <c r="F12" s="13" t="b">
        <v>1</v>
      </c>
      <c r="G12" s="13"/>
      <c r="H12" s="13"/>
      <c r="I12" s="14"/>
      <c r="J12" s="15"/>
    </row>
    <row r="13" spans="1:12" x14ac:dyDescent="0.2">
      <c r="A13" s="12" t="s">
        <v>20</v>
      </c>
      <c r="B13" s="13" t="s">
        <v>16</v>
      </c>
      <c r="C13" s="17">
        <v>64</v>
      </c>
      <c r="D13" s="13"/>
      <c r="E13" s="13"/>
      <c r="F13" s="13" t="b">
        <v>1</v>
      </c>
      <c r="G13" s="13"/>
      <c r="H13" s="13"/>
      <c r="I13" s="14"/>
      <c r="J13" s="15"/>
    </row>
    <row r="14" spans="1:12" ht="13.5" thickBot="1" x14ac:dyDescent="0.25">
      <c r="A14" s="15"/>
      <c r="B14" s="15"/>
      <c r="C14" s="29"/>
      <c r="D14" s="15"/>
      <c r="E14" s="15"/>
      <c r="F14" s="15"/>
      <c r="G14" s="15"/>
      <c r="H14" s="15"/>
      <c r="I14" s="15"/>
      <c r="J14" s="15"/>
    </row>
    <row r="15" spans="1:12" ht="13.5" thickBot="1" x14ac:dyDescent="0.25">
      <c r="A15" s="30" t="s">
        <v>10</v>
      </c>
      <c r="B15" s="31"/>
      <c r="C15" s="6"/>
      <c r="D15" s="7"/>
      <c r="E15" s="7"/>
      <c r="F15" s="8"/>
      <c r="G15" s="8"/>
      <c r="H15" s="8"/>
      <c r="I15" s="8"/>
      <c r="J15" s="8"/>
      <c r="K15" s="8"/>
      <c r="L15" s="8"/>
    </row>
    <row r="16" spans="1:12" s="21" customFormat="1" x14ac:dyDescent="0.2">
      <c r="A16" s="20" t="str">
        <f>"DROP TABLE IF EXISTS "&amp;$B$1&amp;";"</f>
        <v>DROP TABLE IF EXISTS TinTuc;</v>
      </c>
    </row>
    <row r="17" spans="1:2" s="21" customFormat="1" x14ac:dyDescent="0.2">
      <c r="A17" s="22" t="str">
        <f>"CREATE TABLE "&amp;$B$1&amp;"("</f>
        <v>CREATE TABLE TinTuc(</v>
      </c>
    </row>
    <row r="18" spans="1:2" s="21" customFormat="1" x14ac:dyDescent="0.2">
      <c r="B18" s="21" t="str">
        <f>A4&amp;" "&amp;B4&amp;IF(AND(B4&lt;&gt;"int",B4&lt;&gt;"bigint",B4&lt;&gt;"bit",B4&lt;&gt;"float",B4&lt;&gt;"datetime",B4&lt;&gt;"smalldatetime",B4&lt;&gt;"timestamp",B4&lt;&gt;"xml"),"("&amp;C4&amp;") "," ")&amp;""&amp;IF(F4=FALSE,"NOT NULL","NULL")&amp;IF(G4&lt;&gt;""," DEFAULT ("&amp;G4&amp;")","")&amp;IF(H4=TRUE," AUTO_INCREMENT","")&amp;IF(A5&lt;&gt;"",", ","")</f>
        <v xml:space="preserve">id int NOT NULL AUTO_INCREMENT, </v>
      </c>
    </row>
    <row r="19" spans="1:2" s="21" customFormat="1" x14ac:dyDescent="0.2">
      <c r="B19" s="21" t="str">
        <f t="shared" ref="B19:B26" si="0">A5&amp;" "&amp;B5&amp;IF(AND(B5&lt;&gt;"int",B5&lt;&gt;"bigint",B5&lt;&gt;"bit",B5&lt;&gt;"float",B5&lt;&gt;"datetime",B5&lt;&gt;"smalldatetime",B5&lt;&gt;"timestamp",B5&lt;&gt;"xml"),"("&amp;C5&amp;") "," ")&amp;""&amp;IF(F5=FALSE,"NOT NULL","NULL")&amp;IF(G5&lt;&gt;""," DEFAULT ("&amp;G5&amp;")","")&amp;IF(H5=TRUE," AUTO_INCREMENT","")&amp;IF(A6&lt;&gt;"",", ","")</f>
        <v xml:space="preserve">tieu_de nvarchar(128) NOT NULL, </v>
      </c>
    </row>
    <row r="20" spans="1:2" s="21" customFormat="1" x14ac:dyDescent="0.2">
      <c r="B20" s="21" t="str">
        <f t="shared" si="0"/>
        <v xml:space="preserve">tac_gia nvarchar(128) NOT NULL, </v>
      </c>
    </row>
    <row r="21" spans="1:2" s="21" customFormat="1" x14ac:dyDescent="0.2">
      <c r="B21" s="21" t="str">
        <f t="shared" si="0"/>
        <v xml:space="preserve">noi_dung nvarchar(max) NOT NULL, </v>
      </c>
    </row>
    <row r="22" spans="1:2" s="21" customFormat="1" x14ac:dyDescent="0.2">
      <c r="B22" s="21" t="str">
        <f t="shared" si="0"/>
        <v xml:space="preserve">loai_tin int NOT NULL, </v>
      </c>
    </row>
    <row r="23" spans="1:2" s="21" customFormat="1" x14ac:dyDescent="0.2">
      <c r="B23" s="21" t="str">
        <f t="shared" si="0"/>
        <v xml:space="preserve">trang_thai bit NOT NULL DEFAULT (TRUE), </v>
      </c>
    </row>
    <row r="24" spans="1:2" s="21" customFormat="1" x14ac:dyDescent="0.2">
      <c r="B24" s="21" t="e">
        <f>A10&amp;" "&amp;#REF!&amp;IF(AND(#REF!&lt;&gt;"int",#REF!&lt;&gt;"bigint",#REF!&lt;&gt;"bit",#REF!&lt;&gt;"float",#REF!&lt;&gt;"datetime",#REF!&lt;&gt;"smalldatetime",#REF!&lt;&gt;"timestamp",#REF!&lt;&gt;"xml"),"("&amp;C11&amp;") "," ")&amp;""&amp;IF(F10=FALSE,"NOT NULL","NULL")&amp;IF(G10&lt;&gt;""," DEFAULT ("&amp;G10&amp;")","")&amp;IF(H10=TRUE," AUTO_INCREMENT","")&amp;IF(A11&lt;&gt;"",", ","")</f>
        <v>#REF!</v>
      </c>
    </row>
    <row r="25" spans="1:2" s="21" customFormat="1" x14ac:dyDescent="0.2">
      <c r="B25" s="21" t="str">
        <f>A11&amp;" "&amp;B10&amp;IF(AND(B10&lt;&gt;"int",B10&lt;&gt;"bigint",B10&lt;&gt;"bit",B10&lt;&gt;"float",B10&lt;&gt;"datetime",B10&lt;&gt;"smalldatetime",B10&lt;&gt;"timestamp",B10&lt;&gt;"xml"),"("&amp;#REF!&amp;") "," ")&amp;""&amp;IF(F11=FALSE,"NOT NULL","NULL")&amp;IF(G11&lt;&gt;""," DEFAULT ("&amp;G11&amp;")","")&amp;IF(H11=TRUE," AUTO_INCREMENT","")&amp;IF(A12&lt;&gt;"",", ","")</f>
        <v xml:space="preserve">nguoi_tao datetime NULL, </v>
      </c>
    </row>
    <row r="26" spans="1:2" s="21" customFormat="1" x14ac:dyDescent="0.2">
      <c r="B26" s="21" t="str">
        <f t="shared" si="0"/>
        <v xml:space="preserve">ngay_cap_nhat datetime NULL, </v>
      </c>
    </row>
    <row r="27" spans="1:2" s="21" customFormat="1" x14ac:dyDescent="0.2">
      <c r="A27" s="21" t="s">
        <v>34</v>
      </c>
    </row>
    <row r="28" spans="1:2" s="21" customFormat="1" x14ac:dyDescent="0.2">
      <c r="B28" s="5" t="str">
        <f>IF(D4=TRUE, A4&amp;IF(D5="", "", ", "), "")</f>
        <v>id</v>
      </c>
    </row>
    <row r="29" spans="1:2" s="21" customFormat="1" x14ac:dyDescent="0.2">
      <c r="B29" s="5" t="str">
        <f t="shared" ref="B29:B32" si="1">IF(D5=TRUE, A5&amp;IF(D6="", "", ", "), "")</f>
        <v/>
      </c>
    </row>
    <row r="30" spans="1:2" s="21" customFormat="1" x14ac:dyDescent="0.2">
      <c r="B30" s="5" t="str">
        <f t="shared" si="1"/>
        <v/>
      </c>
    </row>
    <row r="31" spans="1:2" s="21" customFormat="1" x14ac:dyDescent="0.2">
      <c r="B31" s="5" t="str">
        <f t="shared" si="1"/>
        <v/>
      </c>
    </row>
    <row r="32" spans="1:2" s="21" customFormat="1" x14ac:dyDescent="0.2">
      <c r="B32" s="5" t="str">
        <f t="shared" si="1"/>
        <v/>
      </c>
    </row>
    <row r="33" spans="1:12" s="21" customFormat="1" x14ac:dyDescent="0.2">
      <c r="B33" s="21" t="s">
        <v>35</v>
      </c>
    </row>
    <row r="34" spans="1:12" s="21" customFormat="1" x14ac:dyDescent="0.2">
      <c r="A34" s="21" t="s">
        <v>33</v>
      </c>
    </row>
    <row r="35" spans="1:12" x14ac:dyDescent="0.2">
      <c r="A35" s="2"/>
      <c r="B35" s="2"/>
      <c r="C35" s="2"/>
      <c r="D35" s="2"/>
      <c r="E35" s="2"/>
      <c r="F35" s="3"/>
      <c r="G35" s="2"/>
      <c r="H35" s="2"/>
      <c r="I35" s="4"/>
      <c r="J35" s="4"/>
      <c r="K35" s="2"/>
      <c r="L35" s="2"/>
    </row>
    <row r="36" spans="1:12" x14ac:dyDescent="0.2">
      <c r="C36" t="s">
        <v>23</v>
      </c>
    </row>
    <row r="39" spans="1:12" x14ac:dyDescent="0.2">
      <c r="A39" s="19" t="s">
        <v>24</v>
      </c>
      <c r="B39" s="19" t="str">
        <f>B1</f>
        <v>TinTuc</v>
      </c>
      <c r="C39" s="19"/>
    </row>
    <row r="40" spans="1:12" x14ac:dyDescent="0.2">
      <c r="A40" s="19" t="s">
        <v>25</v>
      </c>
      <c r="B40" s="19"/>
      <c r="C40" s="19"/>
    </row>
    <row r="41" spans="1:12" x14ac:dyDescent="0.2">
      <c r="A41" s="19"/>
      <c r="B41" s="19" t="s">
        <v>26</v>
      </c>
      <c r="C41" s="19"/>
    </row>
    <row r="42" spans="1:12" x14ac:dyDescent="0.2">
      <c r="A42" s="19"/>
      <c r="B42" s="19" t="s">
        <v>27</v>
      </c>
      <c r="C42" s="19"/>
    </row>
    <row r="43" spans="1:12" x14ac:dyDescent="0.2">
      <c r="A43" s="19" t="s">
        <v>28</v>
      </c>
      <c r="B43" s="19" t="str">
        <f>IF(OR($B4="nvarchar",$B4="varchar"),"string",IF($B4="datetime","DateTime",$B4))</f>
        <v>int</v>
      </c>
      <c r="C43" s="19" t="str">
        <f>$A4&amp;" "&amp;$C$36</f>
        <v>id  { get; set; }</v>
      </c>
    </row>
    <row r="44" spans="1:12" x14ac:dyDescent="0.2">
      <c r="A44" s="19" t="s">
        <v>28</v>
      </c>
      <c r="B44" s="19" t="str">
        <f>IF(OR($B5="nvarchar",$B5="varchar"),"string",IF($B5="datetime","DateTime",$B5))</f>
        <v>string</v>
      </c>
      <c r="C44" s="19" t="str">
        <f>$A5&amp;" "&amp;$C$36</f>
        <v>tieu_de  { get; set; }</v>
      </c>
    </row>
    <row r="45" spans="1:12" x14ac:dyDescent="0.2">
      <c r="A45" s="19" t="s">
        <v>28</v>
      </c>
      <c r="B45" s="19" t="str">
        <f>IF(OR($B6="nvarchar",$B6="varchar"),"string",IF($B6="datetime","DateTime",$B6))</f>
        <v>string</v>
      </c>
      <c r="C45" s="19" t="str">
        <f>$A6&amp;" "&amp;$C$36</f>
        <v>tac_gia  { get; set; }</v>
      </c>
    </row>
    <row r="46" spans="1:12" x14ac:dyDescent="0.2">
      <c r="A46" s="19" t="s">
        <v>28</v>
      </c>
      <c r="B46" s="19" t="str">
        <f>IF(OR($B7="nvarchar",$B7="varchar"),"string",IF($B7="datetime","DateTime",$B7))</f>
        <v>string</v>
      </c>
      <c r="C46" s="19" t="str">
        <f>$A7&amp;" "&amp;$C$36</f>
        <v>noi_dung  { get; set; }</v>
      </c>
    </row>
    <row r="47" spans="1:12" x14ac:dyDescent="0.2">
      <c r="A47" s="19" t="s">
        <v>28</v>
      </c>
      <c r="B47" s="19" t="str">
        <f>IF(OR($B8="nvarchar",$B8="varchar"),"string",IF($B8="datetime","DateTime",$B8))</f>
        <v>int</v>
      </c>
      <c r="C47" s="19" t="str">
        <f>$A8&amp;" "&amp;$C$36</f>
        <v>loai_tin  { get; set; }</v>
      </c>
    </row>
    <row r="48" spans="1:12" x14ac:dyDescent="0.2">
      <c r="A48" s="19" t="s">
        <v>28</v>
      </c>
      <c r="B48" s="19" t="str">
        <f>IF(OR($B9="nvarchar",$B9="varchar"),"string",IF($B9="datetime","DateTime",$B9))</f>
        <v>bit</v>
      </c>
      <c r="C48" s="19" t="str">
        <f>$A9&amp;" "&amp;$C$36</f>
        <v>trang_thai  { get; set; }</v>
      </c>
    </row>
    <row r="49" spans="1:3" x14ac:dyDescent="0.2">
      <c r="A49" s="19" t="s">
        <v>28</v>
      </c>
      <c r="B49" s="19" t="e">
        <f>IF(OR(#REF!="nvarchar",#REF!="varchar"),"string",IF(#REF!="datetime","DateTime",#REF!))</f>
        <v>#REF!</v>
      </c>
      <c r="C49" s="19" t="str">
        <f>$A10&amp;" "&amp;$C$36</f>
        <v>ngay_tao  { get; set; }</v>
      </c>
    </row>
    <row r="50" spans="1:3" x14ac:dyDescent="0.2">
      <c r="A50" s="19" t="s">
        <v>28</v>
      </c>
      <c r="B50" s="19" t="str">
        <f>IF(OR($B10="nvarchar",$B10="varchar"),"string",IF($B10="datetime","DateTime",$B10))</f>
        <v>DateTime</v>
      </c>
      <c r="C50" s="19" t="str">
        <f>$A11&amp;" "&amp;$C$36</f>
        <v>nguoi_tao  { get; set; }</v>
      </c>
    </row>
    <row r="51" spans="1:3" x14ac:dyDescent="0.2">
      <c r="A51" s="19" t="s">
        <v>28</v>
      </c>
      <c r="B51" s="19" t="str">
        <f>IF(OR($B12="nvarchar",$B12="varchar"),"string",IF($B12="datetime","DateTime",$B12))</f>
        <v>DateTime</v>
      </c>
      <c r="C51" s="19" t="str">
        <f>$A12&amp;" "&amp;$C$36</f>
        <v>ngay_cap_nhat  { get; set; }</v>
      </c>
    </row>
    <row r="52" spans="1:3" x14ac:dyDescent="0.2">
      <c r="A52" s="19" t="s">
        <v>29</v>
      </c>
      <c r="B52" s="19"/>
      <c r="C52" s="19"/>
    </row>
  </sheetData>
  <mergeCells count="1">
    <mergeCell ref="A15:B15"/>
  </mergeCells>
  <hyperlinks>
    <hyperlink ref="D1" location="'Sheet List'!A1" display="back to list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70C0"/>
  </sheetPr>
  <dimension ref="A1:L47"/>
  <sheetViews>
    <sheetView workbookViewId="0"/>
  </sheetViews>
  <sheetFormatPr defaultRowHeight="12.75" x14ac:dyDescent="0.2"/>
  <cols>
    <col min="1" max="1" width="23.85546875" customWidth="1"/>
    <col min="2" max="2" width="29.7109375" customWidth="1"/>
    <col min="3" max="3" width="35.28515625" bestFit="1" customWidth="1"/>
    <col min="4" max="4" width="12.140625" bestFit="1" customWidth="1"/>
    <col min="5" max="5" width="19.28515625" bestFit="1" customWidth="1"/>
    <col min="6" max="6" width="10.140625" customWidth="1"/>
    <col min="7" max="8" width="10.42578125" bestFit="1" customWidth="1"/>
    <col min="9" max="9" width="50.7109375" bestFit="1" customWidth="1"/>
    <col min="10" max="10" width="9" customWidth="1"/>
    <col min="14" max="14" width="3" bestFit="1" customWidth="1"/>
    <col min="15" max="26" width="15.7109375" customWidth="1"/>
  </cols>
  <sheetData>
    <row r="1" spans="1:12" x14ac:dyDescent="0.2">
      <c r="A1" s="1" t="s">
        <v>8</v>
      </c>
      <c r="B1" s="1" t="s">
        <v>82</v>
      </c>
      <c r="D1" s="16" t="s">
        <v>14</v>
      </c>
    </row>
    <row r="3" spans="1:12" x14ac:dyDescent="0.2">
      <c r="A3" s="9" t="s">
        <v>0</v>
      </c>
      <c r="B3" s="10" t="s">
        <v>1</v>
      </c>
      <c r="C3" s="10" t="s">
        <v>11</v>
      </c>
      <c r="D3" s="10" t="s">
        <v>2</v>
      </c>
      <c r="E3" s="10" t="s">
        <v>3</v>
      </c>
      <c r="F3" s="10" t="s">
        <v>4</v>
      </c>
      <c r="G3" s="10" t="s">
        <v>5</v>
      </c>
      <c r="H3" s="10" t="s">
        <v>12</v>
      </c>
      <c r="I3" s="11" t="s">
        <v>6</v>
      </c>
      <c r="J3" s="15"/>
    </row>
    <row r="4" spans="1:12" x14ac:dyDescent="0.2">
      <c r="A4" s="28" t="s">
        <v>21</v>
      </c>
      <c r="B4" s="13" t="s">
        <v>15</v>
      </c>
      <c r="C4" s="17"/>
      <c r="D4" s="13" t="b">
        <v>1</v>
      </c>
      <c r="E4" s="13"/>
      <c r="F4" s="13" t="b">
        <v>0</v>
      </c>
      <c r="G4" s="13"/>
      <c r="H4" s="13" t="b">
        <v>1</v>
      </c>
      <c r="I4" s="14"/>
      <c r="J4" s="15"/>
    </row>
    <row r="5" spans="1:12" x14ac:dyDescent="0.2">
      <c r="A5" s="28" t="s">
        <v>47</v>
      </c>
      <c r="B5" s="13" t="s">
        <v>16</v>
      </c>
      <c r="C5" s="17">
        <v>128</v>
      </c>
      <c r="D5" s="13"/>
      <c r="E5" s="13"/>
      <c r="F5" s="13" t="b">
        <v>0</v>
      </c>
      <c r="G5" s="13"/>
      <c r="H5" s="13"/>
      <c r="I5" s="14"/>
      <c r="J5" s="15"/>
    </row>
    <row r="6" spans="1:12" x14ac:dyDescent="0.2">
      <c r="A6" s="12" t="s">
        <v>30</v>
      </c>
      <c r="B6" s="13" t="s">
        <v>38</v>
      </c>
      <c r="C6" s="17"/>
      <c r="D6" s="13"/>
      <c r="E6" s="13"/>
      <c r="F6" s="13" t="b">
        <v>0</v>
      </c>
      <c r="G6" s="13" t="b">
        <v>1</v>
      </c>
      <c r="H6" s="13"/>
      <c r="I6" s="14"/>
      <c r="J6" s="15"/>
    </row>
    <row r="7" spans="1:12" x14ac:dyDescent="0.2">
      <c r="A7" s="12" t="s">
        <v>17</v>
      </c>
      <c r="B7" s="13" t="s">
        <v>9</v>
      </c>
      <c r="D7" s="13"/>
      <c r="E7" s="13"/>
      <c r="F7" s="13" t="b">
        <v>1</v>
      </c>
      <c r="G7" s="13"/>
      <c r="H7" s="13"/>
      <c r="I7" s="14"/>
      <c r="J7" s="15"/>
    </row>
    <row r="8" spans="1:12" x14ac:dyDescent="0.2">
      <c r="A8" s="12" t="s">
        <v>18</v>
      </c>
      <c r="B8" s="13" t="s">
        <v>16</v>
      </c>
      <c r="C8" s="17">
        <v>64</v>
      </c>
      <c r="D8" s="13"/>
      <c r="E8" s="13"/>
      <c r="F8" s="13" t="b">
        <v>1</v>
      </c>
      <c r="G8" s="13"/>
      <c r="H8" s="13"/>
      <c r="I8" s="14"/>
      <c r="J8" s="15"/>
    </row>
    <row r="9" spans="1:12" x14ac:dyDescent="0.2">
      <c r="A9" s="12" t="s">
        <v>19</v>
      </c>
      <c r="B9" s="13" t="s">
        <v>9</v>
      </c>
      <c r="C9" s="17"/>
      <c r="D9" s="13"/>
      <c r="E9" s="13"/>
      <c r="F9" s="13" t="b">
        <v>1</v>
      </c>
      <c r="G9" s="13"/>
      <c r="H9" s="13"/>
      <c r="I9" s="14"/>
      <c r="J9" s="15"/>
    </row>
    <row r="10" spans="1:12" x14ac:dyDescent="0.2">
      <c r="A10" s="12" t="s">
        <v>20</v>
      </c>
      <c r="B10" s="13" t="s">
        <v>16</v>
      </c>
      <c r="C10" s="17">
        <v>64</v>
      </c>
      <c r="D10" s="13"/>
      <c r="E10" s="13"/>
      <c r="F10" s="13" t="b">
        <v>1</v>
      </c>
      <c r="G10" s="13"/>
      <c r="H10" s="13"/>
      <c r="I10" s="14"/>
      <c r="J10" s="15"/>
    </row>
    <row r="11" spans="1:12" ht="13.5" thickBot="1" x14ac:dyDescent="0.25">
      <c r="A11" s="15"/>
      <c r="B11" s="15"/>
      <c r="C11" s="29"/>
      <c r="D11" s="15"/>
      <c r="E11" s="15"/>
      <c r="F11" s="15"/>
      <c r="G11" s="15"/>
      <c r="H11" s="15"/>
      <c r="I11" s="15"/>
      <c r="J11" s="15"/>
    </row>
    <row r="12" spans="1:12" ht="13.5" thickBot="1" x14ac:dyDescent="0.25">
      <c r="A12" s="30" t="s">
        <v>10</v>
      </c>
      <c r="B12" s="31"/>
      <c r="C12" s="6"/>
      <c r="D12" s="7"/>
      <c r="E12" s="7"/>
      <c r="F12" s="8"/>
      <c r="G12" s="8"/>
      <c r="H12" s="8"/>
      <c r="I12" s="8"/>
      <c r="J12" s="8"/>
      <c r="K12" s="8"/>
      <c r="L12" s="8"/>
    </row>
    <row r="13" spans="1:12" s="21" customFormat="1" x14ac:dyDescent="0.2">
      <c r="A13" s="20" t="str">
        <f>"DROP TABLE IF EXISTS "&amp;$B$1&amp;";"</f>
        <v>DROP TABLE IF EXISTS LoaiTinTuc;</v>
      </c>
    </row>
    <row r="14" spans="1:12" s="21" customFormat="1" x14ac:dyDescent="0.2">
      <c r="A14" s="22" t="str">
        <f>"CREATE TABLE "&amp;$B$1&amp;"("</f>
        <v>CREATE TABLE LoaiTinTuc(</v>
      </c>
    </row>
    <row r="15" spans="1:12" s="21" customFormat="1" x14ac:dyDescent="0.2">
      <c r="B15" s="21" t="str">
        <f>A4&amp;" "&amp;B4&amp;IF(AND(B4&lt;&gt;"int",B4&lt;&gt;"bigint",B4&lt;&gt;"bit",B4&lt;&gt;"float",B4&lt;&gt;"datetime",B4&lt;&gt;"smalldatetime",B4&lt;&gt;"timestamp",B4&lt;&gt;"xml"),"("&amp;C4&amp;") "," ")&amp;""&amp;IF(F4=FALSE,"NOT NULL","NULL")&amp;IF(G4&lt;&gt;""," DEFAULT ("&amp;G4&amp;")","")&amp;IF(H4=TRUE," AUTO_INCREMENT","")&amp;IF(A5&lt;&gt;"",", ","")</f>
        <v xml:space="preserve">id int NOT NULL AUTO_INCREMENT, </v>
      </c>
    </row>
    <row r="16" spans="1:12" s="21" customFormat="1" x14ac:dyDescent="0.2">
      <c r="B16" s="21" t="str">
        <f t="shared" ref="B16:B21" si="0">A5&amp;" "&amp;B5&amp;IF(AND(B5&lt;&gt;"int",B5&lt;&gt;"bigint",B5&lt;&gt;"bit",B5&lt;&gt;"float",B5&lt;&gt;"datetime",B5&lt;&gt;"smalldatetime",B5&lt;&gt;"timestamp",B5&lt;&gt;"xml"),"("&amp;C5&amp;") "," ")&amp;""&amp;IF(F5=FALSE,"NOT NULL","NULL")&amp;IF(G5&lt;&gt;""," DEFAULT ("&amp;G5&amp;")","")&amp;IF(H5=TRUE," AUTO_INCREMENT","")&amp;IF(A6&lt;&gt;"",", ","")</f>
        <v xml:space="preserve">ten nvarchar(128) NOT NULL, </v>
      </c>
    </row>
    <row r="17" spans="1:12" s="21" customFormat="1" x14ac:dyDescent="0.2">
      <c r="B17" s="21" t="str">
        <f t="shared" si="0"/>
        <v xml:space="preserve">trang_thai bit NOT NULL DEFAULT (TRUE), </v>
      </c>
    </row>
    <row r="18" spans="1:12" s="21" customFormat="1" x14ac:dyDescent="0.2">
      <c r="B18" s="21" t="str">
        <f t="shared" si="0"/>
        <v xml:space="preserve">ngay_tao datetime NULL, </v>
      </c>
    </row>
    <row r="19" spans="1:12" s="21" customFormat="1" x14ac:dyDescent="0.2">
      <c r="B19" s="21" t="str">
        <f t="shared" si="0"/>
        <v xml:space="preserve">nguoi_tao nvarchar(64) NULL, </v>
      </c>
    </row>
    <row r="20" spans="1:12" s="21" customFormat="1" x14ac:dyDescent="0.2">
      <c r="B20" s="21" t="str">
        <f t="shared" si="0"/>
        <v xml:space="preserve">ngay_cap_nhat datetime NULL, </v>
      </c>
    </row>
    <row r="21" spans="1:12" s="21" customFormat="1" x14ac:dyDescent="0.2">
      <c r="B21" s="21" t="str">
        <f t="shared" si="0"/>
        <v>nguoi_cap_nhat nvarchar(64) NULL</v>
      </c>
    </row>
    <row r="22" spans="1:12" s="21" customFormat="1" x14ac:dyDescent="0.2">
      <c r="A22" s="21" t="s">
        <v>34</v>
      </c>
    </row>
    <row r="23" spans="1:12" s="21" customFormat="1" x14ac:dyDescent="0.2">
      <c r="B23" s="5" t="str">
        <f>IF(D4=TRUE, A4&amp;IF(D5="", "", ", "), "")</f>
        <v>id</v>
      </c>
    </row>
    <row r="24" spans="1:12" s="21" customFormat="1" x14ac:dyDescent="0.2">
      <c r="B24" s="5" t="str">
        <f t="shared" ref="B24:B27" si="1">IF(D5=TRUE, A5&amp;IF(D6="", "", ", "), "")</f>
        <v/>
      </c>
    </row>
    <row r="25" spans="1:12" s="21" customFormat="1" x14ac:dyDescent="0.2">
      <c r="B25" s="5" t="str">
        <f t="shared" si="1"/>
        <v/>
      </c>
    </row>
    <row r="26" spans="1:12" s="21" customFormat="1" x14ac:dyDescent="0.2">
      <c r="B26" s="5" t="str">
        <f t="shared" si="1"/>
        <v/>
      </c>
    </row>
    <row r="27" spans="1:12" s="21" customFormat="1" x14ac:dyDescent="0.2">
      <c r="B27" s="5" t="str">
        <f t="shared" si="1"/>
        <v/>
      </c>
    </row>
    <row r="28" spans="1:12" s="21" customFormat="1" x14ac:dyDescent="0.2">
      <c r="B28" s="21" t="s">
        <v>35</v>
      </c>
    </row>
    <row r="29" spans="1:12" s="21" customFormat="1" x14ac:dyDescent="0.2">
      <c r="A29" s="21" t="s">
        <v>33</v>
      </c>
    </row>
    <row r="30" spans="1:12" x14ac:dyDescent="0.2">
      <c r="A30" s="2"/>
      <c r="B30" s="2"/>
      <c r="C30" s="2"/>
      <c r="D30" s="2"/>
      <c r="E30" s="2"/>
      <c r="F30" s="3"/>
      <c r="G30" s="2"/>
      <c r="H30" s="2"/>
      <c r="I30" s="4"/>
      <c r="J30" s="4"/>
      <c r="K30" s="2"/>
      <c r="L30" s="2"/>
    </row>
    <row r="31" spans="1:12" x14ac:dyDescent="0.2">
      <c r="C31" t="s">
        <v>23</v>
      </c>
    </row>
    <row r="34" spans="1:3" x14ac:dyDescent="0.2">
      <c r="A34" s="19" t="s">
        <v>24</v>
      </c>
      <c r="B34" s="19" t="str">
        <f>B1</f>
        <v>LoaiTinTuc</v>
      </c>
      <c r="C34" s="19"/>
    </row>
    <row r="35" spans="1:3" x14ac:dyDescent="0.2">
      <c r="A35" s="19" t="s">
        <v>25</v>
      </c>
      <c r="B35" s="19"/>
      <c r="C35" s="19"/>
    </row>
    <row r="36" spans="1:3" x14ac:dyDescent="0.2">
      <c r="A36" s="19"/>
      <c r="B36" s="19" t="s">
        <v>26</v>
      </c>
      <c r="C36" s="19"/>
    </row>
    <row r="37" spans="1:3" x14ac:dyDescent="0.2">
      <c r="A37" s="19"/>
      <c r="B37" s="19" t="s">
        <v>27</v>
      </c>
      <c r="C37" s="19"/>
    </row>
    <row r="38" spans="1:3" x14ac:dyDescent="0.2">
      <c r="A38" s="19" t="s">
        <v>28</v>
      </c>
      <c r="B38" s="19" t="str">
        <f>IF(OR($B4="nvarchar",$B4="varchar"),"string",IF($B4="datetime","DateTime",$B4))</f>
        <v>int</v>
      </c>
      <c r="C38" s="19" t="str">
        <f>$A4&amp;" "&amp;$C$31</f>
        <v>id  { get; set; }</v>
      </c>
    </row>
    <row r="39" spans="1:3" x14ac:dyDescent="0.2">
      <c r="A39" s="19" t="s">
        <v>28</v>
      </c>
      <c r="B39" s="19" t="str">
        <f>IF(OR($B5="nvarchar",$B5="varchar"),"string",IF($B5="datetime","DateTime",$B5))</f>
        <v>string</v>
      </c>
      <c r="C39" s="19" t="str">
        <f>$A5&amp;" "&amp;$C$31</f>
        <v>ten  { get; set; }</v>
      </c>
    </row>
    <row r="40" spans="1:3" x14ac:dyDescent="0.2">
      <c r="A40" s="19" t="s">
        <v>28</v>
      </c>
      <c r="B40" s="19" t="e">
        <f>IF(OR(#REF!="nvarchar",#REF!="varchar"),"string",IF(#REF!="datetime","DateTime",#REF!))</f>
        <v>#REF!</v>
      </c>
      <c r="C40" s="19" t="e">
        <f>#REF!&amp;" "&amp;$C$31</f>
        <v>#REF!</v>
      </c>
    </row>
    <row r="41" spans="1:3" x14ac:dyDescent="0.2">
      <c r="A41" s="19" t="s">
        <v>28</v>
      </c>
      <c r="B41" s="19" t="e">
        <f>IF(OR(#REF!="nvarchar",#REF!="varchar"),"string",IF(#REF!="datetime","DateTime",#REF!))</f>
        <v>#REF!</v>
      </c>
      <c r="C41" s="19" t="e">
        <f>#REF!&amp;" "&amp;$C$31</f>
        <v>#REF!</v>
      </c>
    </row>
    <row r="42" spans="1:3" x14ac:dyDescent="0.2">
      <c r="A42" s="19" t="s">
        <v>28</v>
      </c>
      <c r="B42" s="19" t="e">
        <f>IF(OR(#REF!="nvarchar",#REF!="varchar"),"string",IF(#REF!="datetime","DateTime",#REF!))</f>
        <v>#REF!</v>
      </c>
      <c r="C42" s="19" t="e">
        <f>#REF!&amp;" "&amp;$C$31</f>
        <v>#REF!</v>
      </c>
    </row>
    <row r="43" spans="1:3" x14ac:dyDescent="0.2">
      <c r="A43" s="19" t="s">
        <v>28</v>
      </c>
      <c r="B43" s="19" t="str">
        <f>IF(OR($B6="nvarchar",$B6="varchar"),"string",IF($B6="datetime","DateTime",$B6))</f>
        <v>bit</v>
      </c>
      <c r="C43" s="19" t="str">
        <f>$A6&amp;" "&amp;$C$31</f>
        <v>trang_thai  { get; set; }</v>
      </c>
    </row>
    <row r="44" spans="1:3" x14ac:dyDescent="0.2">
      <c r="A44" s="19" t="s">
        <v>28</v>
      </c>
      <c r="B44" s="19" t="e">
        <f>IF(OR(#REF!="nvarchar",#REF!="varchar"),"string",IF(#REF!="datetime","DateTime",#REF!))</f>
        <v>#REF!</v>
      </c>
      <c r="C44" s="19" t="str">
        <f>$A7&amp;" "&amp;$C$31</f>
        <v>ngay_tao  { get; set; }</v>
      </c>
    </row>
    <row r="45" spans="1:3" x14ac:dyDescent="0.2">
      <c r="A45" s="19" t="s">
        <v>28</v>
      </c>
      <c r="B45" s="19" t="str">
        <f>IF(OR($B7="nvarchar",$B7="varchar"),"string",IF($B7="datetime","DateTime",$B7))</f>
        <v>DateTime</v>
      </c>
      <c r="C45" s="19" t="str">
        <f>$A8&amp;" "&amp;$C$31</f>
        <v>nguoi_tao  { get; set; }</v>
      </c>
    </row>
    <row r="46" spans="1:3" x14ac:dyDescent="0.2">
      <c r="A46" s="19" t="s">
        <v>28</v>
      </c>
      <c r="B46" s="19" t="str">
        <f>IF(OR($B9="nvarchar",$B9="varchar"),"string",IF($B9="datetime","DateTime",$B9))</f>
        <v>DateTime</v>
      </c>
      <c r="C46" s="19" t="str">
        <f>$A9&amp;" "&amp;$C$31</f>
        <v>ngay_cap_nhat  { get; set; }</v>
      </c>
    </row>
    <row r="47" spans="1:3" x14ac:dyDescent="0.2">
      <c r="A47" s="19" t="s">
        <v>29</v>
      </c>
      <c r="B47" s="19"/>
      <c r="C47" s="19"/>
    </row>
  </sheetData>
  <mergeCells count="1">
    <mergeCell ref="A12:B12"/>
  </mergeCells>
  <hyperlinks>
    <hyperlink ref="D1" location="'Sheet List'!A1" display="back to list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70C0"/>
  </sheetPr>
  <dimension ref="A1:L54"/>
  <sheetViews>
    <sheetView topLeftCell="A13" workbookViewId="0">
      <selection activeCell="B18" sqref="B18:B27"/>
    </sheetView>
  </sheetViews>
  <sheetFormatPr defaultRowHeight="12.75" x14ac:dyDescent="0.2"/>
  <cols>
    <col min="1" max="1" width="23.85546875" customWidth="1"/>
    <col min="2" max="2" width="29.7109375" customWidth="1"/>
    <col min="3" max="3" width="35.28515625" bestFit="1" customWidth="1"/>
    <col min="4" max="4" width="12.140625" bestFit="1" customWidth="1"/>
    <col min="5" max="5" width="19.28515625" bestFit="1" customWidth="1"/>
    <col min="6" max="6" width="10.140625" customWidth="1"/>
    <col min="7" max="8" width="10.42578125" bestFit="1" customWidth="1"/>
    <col min="9" max="9" width="50.7109375" bestFit="1" customWidth="1"/>
    <col min="10" max="10" width="9" customWidth="1"/>
    <col min="14" max="14" width="3" bestFit="1" customWidth="1"/>
    <col min="15" max="26" width="15.7109375" customWidth="1"/>
  </cols>
  <sheetData>
    <row r="1" spans="1:12" x14ac:dyDescent="0.2">
      <c r="A1" s="1" t="s">
        <v>8</v>
      </c>
      <c r="B1" s="1" t="s">
        <v>77</v>
      </c>
      <c r="D1" s="16" t="s">
        <v>14</v>
      </c>
    </row>
    <row r="3" spans="1:12" x14ac:dyDescent="0.2">
      <c r="A3" s="9" t="s">
        <v>0</v>
      </c>
      <c r="B3" s="10" t="s">
        <v>1</v>
      </c>
      <c r="C3" s="10" t="s">
        <v>11</v>
      </c>
      <c r="D3" s="10" t="s">
        <v>2</v>
      </c>
      <c r="E3" s="10" t="s">
        <v>3</v>
      </c>
      <c r="F3" s="10" t="s">
        <v>4</v>
      </c>
      <c r="G3" s="10" t="s">
        <v>5</v>
      </c>
      <c r="H3" s="10" t="s">
        <v>12</v>
      </c>
      <c r="I3" s="11" t="s">
        <v>6</v>
      </c>
      <c r="J3" s="15"/>
    </row>
    <row r="4" spans="1:12" x14ac:dyDescent="0.2">
      <c r="A4" s="28" t="s">
        <v>21</v>
      </c>
      <c r="B4" s="13" t="s">
        <v>15</v>
      </c>
      <c r="C4" s="17"/>
      <c r="D4" s="13" t="b">
        <v>1</v>
      </c>
      <c r="E4" s="13"/>
      <c r="F4" s="13" t="b">
        <v>0</v>
      </c>
      <c r="G4" s="13"/>
      <c r="H4" s="13" t="b">
        <v>1</v>
      </c>
      <c r="I4" s="14"/>
      <c r="J4" s="15"/>
    </row>
    <row r="5" spans="1:12" x14ac:dyDescent="0.2">
      <c r="A5" s="28" t="s">
        <v>47</v>
      </c>
      <c r="B5" s="13" t="s">
        <v>16</v>
      </c>
      <c r="C5" s="17">
        <v>128</v>
      </c>
      <c r="D5" s="13"/>
      <c r="E5" s="13"/>
      <c r="F5" s="13" t="b">
        <v>0</v>
      </c>
      <c r="G5" s="13"/>
      <c r="H5" s="13"/>
      <c r="I5" s="14"/>
      <c r="J5" s="15"/>
    </row>
    <row r="6" spans="1:12" x14ac:dyDescent="0.2">
      <c r="A6" s="28" t="s">
        <v>49</v>
      </c>
      <c r="B6" s="13" t="s">
        <v>16</v>
      </c>
      <c r="C6" s="17">
        <v>512</v>
      </c>
      <c r="D6" s="13"/>
      <c r="E6" s="13"/>
      <c r="F6" s="13" t="b">
        <v>0</v>
      </c>
      <c r="G6" s="13"/>
      <c r="H6" s="13"/>
      <c r="I6" s="14"/>
      <c r="J6" s="15"/>
    </row>
    <row r="7" spans="1:12" x14ac:dyDescent="0.2">
      <c r="A7" s="12" t="s">
        <v>45</v>
      </c>
      <c r="B7" s="13" t="s">
        <v>46</v>
      </c>
      <c r="C7" s="17">
        <v>100</v>
      </c>
      <c r="D7" s="13"/>
      <c r="E7" s="13"/>
      <c r="F7" s="13" t="b">
        <v>0</v>
      </c>
      <c r="G7" s="13"/>
      <c r="H7" s="13"/>
      <c r="I7" s="14"/>
      <c r="J7" s="15"/>
    </row>
    <row r="8" spans="1:12" x14ac:dyDescent="0.2">
      <c r="A8" s="12" t="s">
        <v>22</v>
      </c>
      <c r="B8" s="13" t="s">
        <v>16</v>
      </c>
      <c r="C8" s="17">
        <v>256</v>
      </c>
      <c r="D8" s="13"/>
      <c r="E8" s="13"/>
      <c r="F8" s="13" t="b">
        <v>1</v>
      </c>
      <c r="G8" s="13"/>
      <c r="H8" s="13"/>
      <c r="I8" s="14"/>
      <c r="J8" s="15"/>
    </row>
    <row r="9" spans="1:12" x14ac:dyDescent="0.2">
      <c r="A9" s="12" t="s">
        <v>30</v>
      </c>
      <c r="B9" s="13" t="s">
        <v>7</v>
      </c>
      <c r="C9" s="17">
        <v>32</v>
      </c>
      <c r="D9" s="13"/>
      <c r="E9" s="13"/>
      <c r="F9" s="13" t="b">
        <v>0</v>
      </c>
      <c r="G9" s="13"/>
      <c r="H9" s="13"/>
      <c r="I9" s="14"/>
      <c r="J9" s="15"/>
    </row>
    <row r="10" spans="1:12" x14ac:dyDescent="0.2">
      <c r="A10" s="12" t="s">
        <v>17</v>
      </c>
      <c r="B10" s="13" t="s">
        <v>9</v>
      </c>
      <c r="D10" s="13"/>
      <c r="E10" s="13"/>
      <c r="F10" s="13" t="b">
        <v>1</v>
      </c>
      <c r="G10" s="13"/>
      <c r="H10" s="13"/>
      <c r="I10" s="14"/>
      <c r="J10" s="15"/>
    </row>
    <row r="11" spans="1:12" x14ac:dyDescent="0.2">
      <c r="A11" s="12" t="s">
        <v>18</v>
      </c>
      <c r="B11" s="13" t="s">
        <v>16</v>
      </c>
      <c r="C11" s="17">
        <v>64</v>
      </c>
      <c r="D11" s="13"/>
      <c r="E11" s="13"/>
      <c r="F11" s="13" t="b">
        <v>1</v>
      </c>
      <c r="G11" s="13"/>
      <c r="H11" s="13"/>
      <c r="I11" s="14"/>
      <c r="J11" s="15"/>
    </row>
    <row r="12" spans="1:12" x14ac:dyDescent="0.2">
      <c r="A12" s="12" t="s">
        <v>19</v>
      </c>
      <c r="B12" s="13" t="s">
        <v>9</v>
      </c>
      <c r="C12" s="17"/>
      <c r="D12" s="13"/>
      <c r="E12" s="13"/>
      <c r="F12" s="13" t="b">
        <v>1</v>
      </c>
      <c r="G12" s="13"/>
      <c r="H12" s="13"/>
      <c r="I12" s="14"/>
      <c r="J12" s="15"/>
    </row>
    <row r="13" spans="1:12" x14ac:dyDescent="0.2">
      <c r="A13" s="12" t="s">
        <v>20</v>
      </c>
      <c r="B13" s="13" t="s">
        <v>16</v>
      </c>
      <c r="C13" s="17">
        <v>64</v>
      </c>
      <c r="D13" s="13"/>
      <c r="E13" s="13"/>
      <c r="F13" s="13" t="b">
        <v>1</v>
      </c>
      <c r="G13" s="13"/>
      <c r="H13" s="13"/>
      <c r="I13" s="14"/>
      <c r="J13" s="15"/>
    </row>
    <row r="14" spans="1:12" ht="13.5" thickBot="1" x14ac:dyDescent="0.25">
      <c r="A14" s="15"/>
      <c r="B14" s="15"/>
      <c r="C14" s="29"/>
      <c r="D14" s="15"/>
      <c r="E14" s="15"/>
      <c r="F14" s="15"/>
      <c r="G14" s="15"/>
      <c r="H14" s="15"/>
      <c r="I14" s="15"/>
      <c r="J14" s="15"/>
    </row>
    <row r="15" spans="1:12" ht="13.5" thickBot="1" x14ac:dyDescent="0.25">
      <c r="A15" s="30" t="s">
        <v>10</v>
      </c>
      <c r="B15" s="31"/>
      <c r="C15" s="6"/>
      <c r="D15" s="7"/>
      <c r="E15" s="7"/>
      <c r="F15" s="8"/>
      <c r="G15" s="8"/>
      <c r="H15" s="8"/>
      <c r="I15" s="8"/>
      <c r="J15" s="8"/>
      <c r="K15" s="8"/>
      <c r="L15" s="8"/>
    </row>
    <row r="16" spans="1:12" s="21" customFormat="1" x14ac:dyDescent="0.2">
      <c r="A16" s="20" t="str">
        <f>"DROP TABLE IF EXISTS "&amp;$B$1&amp;";"</f>
        <v>DROP TABLE IF EXISTS DanhSachCuaHang;</v>
      </c>
    </row>
    <row r="17" spans="1:2" s="21" customFormat="1" x14ac:dyDescent="0.2">
      <c r="A17" s="22" t="str">
        <f>"CREATE TABLE "&amp;$B$1&amp;"("</f>
        <v>CREATE TABLE DanhSachCuaHang(</v>
      </c>
    </row>
    <row r="18" spans="1:2" s="21" customFormat="1" x14ac:dyDescent="0.2">
      <c r="B18" s="21" t="str">
        <f>A4&amp;" "&amp;B4&amp;IF(AND(B4&lt;&gt;"int",B4&lt;&gt;"bigint",B4&lt;&gt;"bit",B4&lt;&gt;"float",B4&lt;&gt;"datetime",B4&lt;&gt;"smalldatetime",B4&lt;&gt;"timestamp",B4&lt;&gt;"xml"),"("&amp;C4&amp;") "," ")&amp;""&amp;IF(F4=FALSE,"NOT NULL","NULL")&amp;IF(G4&lt;&gt;""," DEFAULT ("&amp;G4&amp;")","")&amp;IF(H4=TRUE," AUTO_INCREMENT","")&amp;IF(A5&lt;&gt;"",", ","")</f>
        <v xml:space="preserve">id int NOT NULL AUTO_INCREMENT, </v>
      </c>
    </row>
    <row r="19" spans="1:2" s="21" customFormat="1" x14ac:dyDescent="0.2">
      <c r="B19" s="21" t="str">
        <f t="shared" ref="B19:B27" si="0">A5&amp;" "&amp;B5&amp;IF(AND(B5&lt;&gt;"int",B5&lt;&gt;"bigint",B5&lt;&gt;"bit",B5&lt;&gt;"float",B5&lt;&gt;"datetime",B5&lt;&gt;"smalldatetime",B5&lt;&gt;"timestamp",B5&lt;&gt;"xml"),"("&amp;C5&amp;") "," ")&amp;""&amp;IF(F5=FALSE,"NOT NULL","NULL")&amp;IF(G5&lt;&gt;""," DEFAULT ("&amp;G5&amp;")","")&amp;IF(H5=TRUE," AUTO_INCREMENT","")&amp;IF(A6&lt;&gt;"",", ","")</f>
        <v xml:space="preserve">ten nvarchar(128) NOT NULL, </v>
      </c>
    </row>
    <row r="20" spans="1:2" s="21" customFormat="1" x14ac:dyDescent="0.2">
      <c r="B20" s="21" t="str">
        <f t="shared" si="0"/>
        <v xml:space="preserve">dia_chi nvarchar(512) NOT NULL, </v>
      </c>
    </row>
    <row r="21" spans="1:2" s="21" customFormat="1" x14ac:dyDescent="0.2">
      <c r="B21" s="21" t="str">
        <f t="shared" si="0"/>
        <v xml:space="preserve">sdt char(100) NOT NULL, </v>
      </c>
    </row>
    <row r="22" spans="1:2" s="21" customFormat="1" x14ac:dyDescent="0.2">
      <c r="B22" s="21" t="str">
        <f t="shared" si="0"/>
        <v xml:space="preserve">mo_ta nvarchar(256) NULL, </v>
      </c>
    </row>
    <row r="23" spans="1:2" s="21" customFormat="1" x14ac:dyDescent="0.2">
      <c r="B23" s="21" t="str">
        <f t="shared" si="0"/>
        <v xml:space="preserve">trang_thai varchar(32) NOT NULL, </v>
      </c>
    </row>
    <row r="24" spans="1:2" s="21" customFormat="1" x14ac:dyDescent="0.2">
      <c r="B24" s="21" t="str">
        <f t="shared" si="0"/>
        <v xml:space="preserve">ngay_tao datetime NULL, </v>
      </c>
    </row>
    <row r="25" spans="1:2" s="21" customFormat="1" x14ac:dyDescent="0.2">
      <c r="B25" s="21" t="str">
        <f t="shared" si="0"/>
        <v xml:space="preserve">nguoi_tao nvarchar(64) NULL, </v>
      </c>
    </row>
    <row r="26" spans="1:2" s="21" customFormat="1" x14ac:dyDescent="0.2">
      <c r="B26" s="21" t="str">
        <f t="shared" si="0"/>
        <v xml:space="preserve">ngay_cap_nhat datetime NULL, </v>
      </c>
    </row>
    <row r="27" spans="1:2" s="21" customFormat="1" x14ac:dyDescent="0.2">
      <c r="B27" s="21" t="str">
        <f t="shared" si="0"/>
        <v>nguoi_cap_nhat nvarchar(64) NULL</v>
      </c>
    </row>
    <row r="28" spans="1:2" s="21" customFormat="1" x14ac:dyDescent="0.2">
      <c r="A28" s="21" t="s">
        <v>34</v>
      </c>
    </row>
    <row r="29" spans="1:2" s="21" customFormat="1" x14ac:dyDescent="0.2">
      <c r="B29" s="5" t="str">
        <f>IF(D4=TRUE, A4&amp;IF(D5="", "", ", "), "")</f>
        <v>id</v>
      </c>
    </row>
    <row r="30" spans="1:2" s="21" customFormat="1" x14ac:dyDescent="0.2">
      <c r="B30" s="5" t="str">
        <f t="shared" ref="B30:B33" si="1">IF(D5=TRUE, A5&amp;IF(D6="", "", ", "), "")</f>
        <v/>
      </c>
    </row>
    <row r="31" spans="1:2" s="21" customFormat="1" x14ac:dyDescent="0.2">
      <c r="B31" s="5" t="str">
        <f t="shared" si="1"/>
        <v/>
      </c>
    </row>
    <row r="32" spans="1:2" s="21" customFormat="1" x14ac:dyDescent="0.2">
      <c r="B32" s="5" t="str">
        <f t="shared" si="1"/>
        <v/>
      </c>
    </row>
    <row r="33" spans="1:12" s="21" customFormat="1" x14ac:dyDescent="0.2">
      <c r="B33" s="5" t="str">
        <f t="shared" si="1"/>
        <v/>
      </c>
    </row>
    <row r="34" spans="1:12" s="21" customFormat="1" x14ac:dyDescent="0.2">
      <c r="B34" s="21" t="s">
        <v>35</v>
      </c>
    </row>
    <row r="35" spans="1:12" s="21" customFormat="1" x14ac:dyDescent="0.2">
      <c r="A35" s="21" t="s">
        <v>33</v>
      </c>
    </row>
    <row r="36" spans="1:12" x14ac:dyDescent="0.2">
      <c r="A36" s="2"/>
      <c r="B36" s="2"/>
      <c r="C36" s="2"/>
      <c r="D36" s="2"/>
      <c r="E36" s="2"/>
      <c r="F36" s="3"/>
      <c r="G36" s="2"/>
      <c r="H36" s="2"/>
      <c r="I36" s="4"/>
      <c r="J36" s="4"/>
      <c r="K36" s="2"/>
      <c r="L36" s="2"/>
    </row>
    <row r="37" spans="1:12" x14ac:dyDescent="0.2">
      <c r="C37" t="s">
        <v>23</v>
      </c>
    </row>
    <row r="40" spans="1:12" x14ac:dyDescent="0.2">
      <c r="A40" s="19" t="s">
        <v>24</v>
      </c>
      <c r="B40" s="19" t="str">
        <f>B1</f>
        <v>DanhSachCuaHang</v>
      </c>
      <c r="C40" s="19"/>
    </row>
    <row r="41" spans="1:12" x14ac:dyDescent="0.2">
      <c r="A41" s="19" t="s">
        <v>25</v>
      </c>
      <c r="B41" s="19"/>
      <c r="C41" s="19"/>
    </row>
    <row r="42" spans="1:12" x14ac:dyDescent="0.2">
      <c r="A42" s="19"/>
      <c r="B42" s="19" t="s">
        <v>26</v>
      </c>
      <c r="C42" s="19"/>
    </row>
    <row r="43" spans="1:12" x14ac:dyDescent="0.2">
      <c r="A43" s="19"/>
      <c r="B43" s="19" t="s">
        <v>27</v>
      </c>
      <c r="C43" s="19"/>
    </row>
    <row r="44" spans="1:12" x14ac:dyDescent="0.2">
      <c r="A44" s="19" t="s">
        <v>28</v>
      </c>
      <c r="B44" s="19" t="str">
        <f>IF(OR($B4="nvarchar",$B4="varchar"),"string",IF($B4="datetime","DateTime",$B4))</f>
        <v>int</v>
      </c>
      <c r="C44" s="19" t="str">
        <f>$A4&amp;" "&amp;$C$37</f>
        <v>id  { get; set; }</v>
      </c>
    </row>
    <row r="45" spans="1:12" x14ac:dyDescent="0.2">
      <c r="A45" s="19" t="s">
        <v>28</v>
      </c>
      <c r="B45" s="19" t="str">
        <f t="shared" ref="B45:B53" si="2">IF(OR($B5="nvarchar",$B5="varchar"),"string",IF($B5="datetime","DateTime",$B5))</f>
        <v>string</v>
      </c>
      <c r="C45" s="19" t="str">
        <f t="shared" ref="C45:C53" si="3">$A5&amp;" "&amp;$C$37</f>
        <v>ten  { get; set; }</v>
      </c>
    </row>
    <row r="46" spans="1:12" x14ac:dyDescent="0.2">
      <c r="A46" s="19" t="s">
        <v>28</v>
      </c>
      <c r="B46" s="19" t="str">
        <f t="shared" si="2"/>
        <v>string</v>
      </c>
      <c r="C46" s="19" t="str">
        <f t="shared" si="3"/>
        <v>dia_chi  { get; set; }</v>
      </c>
    </row>
    <row r="47" spans="1:12" x14ac:dyDescent="0.2">
      <c r="A47" s="19" t="s">
        <v>28</v>
      </c>
      <c r="B47" s="19" t="str">
        <f t="shared" si="2"/>
        <v>char</v>
      </c>
      <c r="C47" s="19" t="str">
        <f t="shared" si="3"/>
        <v>sdt  { get; set; }</v>
      </c>
    </row>
    <row r="48" spans="1:12" x14ac:dyDescent="0.2">
      <c r="A48" s="19" t="s">
        <v>28</v>
      </c>
      <c r="B48" s="19" t="str">
        <f t="shared" si="2"/>
        <v>string</v>
      </c>
      <c r="C48" s="19" t="str">
        <f t="shared" si="3"/>
        <v>mo_ta  { get; set; }</v>
      </c>
    </row>
    <row r="49" spans="1:3" x14ac:dyDescent="0.2">
      <c r="A49" s="19" t="s">
        <v>28</v>
      </c>
      <c r="B49" s="19" t="str">
        <f t="shared" si="2"/>
        <v>string</v>
      </c>
      <c r="C49" s="19" t="str">
        <f t="shared" si="3"/>
        <v>trang_thai  { get; set; }</v>
      </c>
    </row>
    <row r="50" spans="1:3" x14ac:dyDescent="0.2">
      <c r="A50" s="19" t="s">
        <v>28</v>
      </c>
      <c r="B50" s="19" t="str">
        <f t="shared" si="2"/>
        <v>DateTime</v>
      </c>
      <c r="C50" s="19" t="str">
        <f t="shared" si="3"/>
        <v>ngay_tao  { get; set; }</v>
      </c>
    </row>
    <row r="51" spans="1:3" x14ac:dyDescent="0.2">
      <c r="A51" s="19" t="s">
        <v>28</v>
      </c>
      <c r="B51" s="19" t="str">
        <f t="shared" si="2"/>
        <v>string</v>
      </c>
      <c r="C51" s="19" t="str">
        <f t="shared" si="3"/>
        <v>nguoi_tao  { get; set; }</v>
      </c>
    </row>
    <row r="52" spans="1:3" x14ac:dyDescent="0.2">
      <c r="A52" s="19" t="s">
        <v>28</v>
      </c>
      <c r="B52" s="19" t="str">
        <f t="shared" si="2"/>
        <v>DateTime</v>
      </c>
      <c r="C52" s="19" t="str">
        <f t="shared" si="3"/>
        <v>ngay_cap_nhat  { get; set; }</v>
      </c>
    </row>
    <row r="53" spans="1:3" x14ac:dyDescent="0.2">
      <c r="A53" s="19" t="s">
        <v>28</v>
      </c>
      <c r="B53" s="19" t="str">
        <f t="shared" si="2"/>
        <v>string</v>
      </c>
      <c r="C53" s="19" t="str">
        <f t="shared" si="3"/>
        <v>nguoi_cap_nhat  { get; set; }</v>
      </c>
    </row>
    <row r="54" spans="1:3" x14ac:dyDescent="0.2">
      <c r="A54" s="19" t="s">
        <v>29</v>
      </c>
      <c r="B54" s="19"/>
      <c r="C54" s="19"/>
    </row>
  </sheetData>
  <mergeCells count="1">
    <mergeCell ref="A15:B15"/>
  </mergeCells>
  <hyperlinks>
    <hyperlink ref="D1" location="'Sheet List'!A1" display="back to list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70C0"/>
  </sheetPr>
  <dimension ref="A1:L57"/>
  <sheetViews>
    <sheetView workbookViewId="0">
      <selection activeCell="C10" sqref="C10"/>
    </sheetView>
  </sheetViews>
  <sheetFormatPr defaultRowHeight="12.75" x14ac:dyDescent="0.2"/>
  <cols>
    <col min="1" max="1" width="23.85546875" customWidth="1"/>
    <col min="2" max="2" width="29.7109375" customWidth="1"/>
    <col min="3" max="3" width="35.28515625" bestFit="1" customWidth="1"/>
    <col min="4" max="4" width="12.140625" bestFit="1" customWidth="1"/>
    <col min="5" max="5" width="19.28515625" bestFit="1" customWidth="1"/>
    <col min="6" max="6" width="10.140625" customWidth="1"/>
    <col min="7" max="8" width="10.42578125" bestFit="1" customWidth="1"/>
    <col min="9" max="9" width="50.7109375" bestFit="1" customWidth="1"/>
    <col min="10" max="10" width="9" customWidth="1"/>
    <col min="14" max="14" width="3" bestFit="1" customWidth="1"/>
    <col min="15" max="26" width="15.7109375" customWidth="1"/>
  </cols>
  <sheetData>
    <row r="1" spans="1:12" x14ac:dyDescent="0.2">
      <c r="A1" s="1" t="s">
        <v>8</v>
      </c>
      <c r="B1" s="1" t="s">
        <v>44</v>
      </c>
      <c r="D1" s="16" t="s">
        <v>14</v>
      </c>
    </row>
    <row r="3" spans="1:12" x14ac:dyDescent="0.2">
      <c r="A3" s="9" t="s">
        <v>0</v>
      </c>
      <c r="B3" s="10" t="s">
        <v>1</v>
      </c>
      <c r="C3" s="10" t="s">
        <v>11</v>
      </c>
      <c r="D3" s="10" t="s">
        <v>2</v>
      </c>
      <c r="E3" s="10" t="s">
        <v>3</v>
      </c>
      <c r="F3" s="10" t="s">
        <v>4</v>
      </c>
      <c r="G3" s="10" t="s">
        <v>5</v>
      </c>
      <c r="H3" s="10" t="s">
        <v>12</v>
      </c>
      <c r="I3" s="11" t="s">
        <v>6</v>
      </c>
      <c r="J3" s="15"/>
    </row>
    <row r="4" spans="1:12" x14ac:dyDescent="0.2">
      <c r="A4" s="28" t="s">
        <v>21</v>
      </c>
      <c r="B4" s="13" t="s">
        <v>15</v>
      </c>
      <c r="C4" s="17"/>
      <c r="D4" s="13" t="b">
        <v>1</v>
      </c>
      <c r="E4" s="13"/>
      <c r="F4" s="13" t="b">
        <v>0</v>
      </c>
      <c r="G4" s="13"/>
      <c r="H4" s="13" t="b">
        <v>1</v>
      </c>
      <c r="I4" s="14"/>
      <c r="J4" s="15"/>
    </row>
    <row r="5" spans="1:12" x14ac:dyDescent="0.2">
      <c r="A5" s="28" t="s">
        <v>48</v>
      </c>
      <c r="B5" s="13" t="s">
        <v>16</v>
      </c>
      <c r="C5" s="17">
        <v>128</v>
      </c>
      <c r="D5" s="13"/>
      <c r="E5" s="13"/>
      <c r="F5" s="13" t="b">
        <v>0</v>
      </c>
      <c r="G5" s="13"/>
      <c r="H5" s="13"/>
      <c r="I5" s="14"/>
      <c r="J5" s="15"/>
    </row>
    <row r="6" spans="1:12" x14ac:dyDescent="0.2">
      <c r="A6" s="28" t="s">
        <v>65</v>
      </c>
      <c r="B6" s="13" t="s">
        <v>16</v>
      </c>
      <c r="C6">
        <v>256</v>
      </c>
      <c r="D6" s="13"/>
      <c r="E6" s="13"/>
      <c r="F6" s="13" t="b">
        <v>0</v>
      </c>
      <c r="G6" s="13"/>
      <c r="H6" s="13"/>
      <c r="I6" s="14" t="s">
        <v>31</v>
      </c>
      <c r="J6" s="15"/>
    </row>
    <row r="7" spans="1:12" x14ac:dyDescent="0.2">
      <c r="A7" s="12" t="s">
        <v>45</v>
      </c>
      <c r="B7" s="13" t="s">
        <v>16</v>
      </c>
      <c r="C7" s="17">
        <v>64</v>
      </c>
      <c r="D7" s="13"/>
      <c r="E7" s="13"/>
      <c r="F7" s="13" t="b">
        <v>0</v>
      </c>
      <c r="G7" s="13"/>
      <c r="H7" s="13"/>
      <c r="I7" s="14"/>
      <c r="J7" s="15"/>
    </row>
    <row r="8" spans="1:12" x14ac:dyDescent="0.2">
      <c r="A8" s="12" t="s">
        <v>49</v>
      </c>
      <c r="B8" s="13" t="s">
        <v>16</v>
      </c>
      <c r="C8" s="17">
        <v>256</v>
      </c>
      <c r="D8" s="13"/>
      <c r="E8" s="13"/>
      <c r="F8" s="13" t="b">
        <v>0</v>
      </c>
      <c r="G8" s="13"/>
      <c r="H8" s="13"/>
      <c r="I8" s="14"/>
      <c r="J8" s="15"/>
    </row>
    <row r="9" spans="1:12" x14ac:dyDescent="0.2">
      <c r="A9" s="28" t="s">
        <v>64</v>
      </c>
      <c r="B9" s="13" t="s">
        <v>15</v>
      </c>
      <c r="C9" s="17"/>
      <c r="D9" s="13"/>
      <c r="E9" s="13"/>
      <c r="F9" s="13" t="b">
        <v>0</v>
      </c>
      <c r="G9" s="13"/>
      <c r="H9" s="13"/>
      <c r="I9" s="14" t="s">
        <v>66</v>
      </c>
      <c r="J9" s="15"/>
    </row>
    <row r="10" spans="1:12" x14ac:dyDescent="0.2">
      <c r="A10" s="12" t="s">
        <v>30</v>
      </c>
      <c r="B10" s="13" t="s">
        <v>7</v>
      </c>
      <c r="C10" s="17">
        <v>32</v>
      </c>
      <c r="D10" s="13"/>
      <c r="E10" s="13"/>
      <c r="F10" s="13" t="b">
        <v>0</v>
      </c>
      <c r="G10" s="13"/>
      <c r="H10" s="13"/>
      <c r="I10" s="14"/>
      <c r="J10" s="15"/>
    </row>
    <row r="11" spans="1:12" x14ac:dyDescent="0.2">
      <c r="A11" s="12" t="s">
        <v>17</v>
      </c>
      <c r="B11" s="13" t="s">
        <v>9</v>
      </c>
      <c r="D11" s="13"/>
      <c r="E11" s="13"/>
      <c r="F11" s="13" t="b">
        <v>1</v>
      </c>
      <c r="G11" s="13"/>
      <c r="H11" s="13"/>
      <c r="I11" s="14"/>
      <c r="J11" s="15"/>
    </row>
    <row r="12" spans="1:12" x14ac:dyDescent="0.2">
      <c r="A12" s="12" t="s">
        <v>18</v>
      </c>
      <c r="B12" s="13" t="s">
        <v>16</v>
      </c>
      <c r="C12" s="17">
        <v>64</v>
      </c>
      <c r="D12" s="13"/>
      <c r="E12" s="13"/>
      <c r="F12" s="13" t="b">
        <v>1</v>
      </c>
      <c r="G12" s="13"/>
      <c r="H12" s="13"/>
      <c r="I12" s="14"/>
      <c r="J12" s="15"/>
    </row>
    <row r="13" spans="1:12" x14ac:dyDescent="0.2">
      <c r="A13" s="12" t="s">
        <v>19</v>
      </c>
      <c r="B13" s="13" t="s">
        <v>9</v>
      </c>
      <c r="C13" s="17"/>
      <c r="D13" s="13"/>
      <c r="E13" s="13"/>
      <c r="F13" s="13" t="b">
        <v>1</v>
      </c>
      <c r="G13" s="13"/>
      <c r="H13" s="13"/>
      <c r="I13" s="14"/>
      <c r="J13" s="15"/>
    </row>
    <row r="14" spans="1:12" x14ac:dyDescent="0.2">
      <c r="A14" s="12" t="s">
        <v>20</v>
      </c>
      <c r="B14" s="13" t="s">
        <v>16</v>
      </c>
      <c r="C14" s="17">
        <v>64</v>
      </c>
      <c r="D14" s="13"/>
      <c r="E14" s="13"/>
      <c r="F14" s="13" t="b">
        <v>1</v>
      </c>
      <c r="G14" s="13"/>
      <c r="H14" s="13"/>
      <c r="I14" s="14"/>
      <c r="J14" s="15"/>
    </row>
    <row r="15" spans="1:12" ht="13.5" thickBot="1" x14ac:dyDescent="0.25"/>
    <row r="16" spans="1:12" ht="13.5" thickBot="1" x14ac:dyDescent="0.25">
      <c r="A16" s="30" t="s">
        <v>10</v>
      </c>
      <c r="B16" s="31"/>
      <c r="C16" s="6"/>
      <c r="D16" s="7"/>
      <c r="E16" s="7"/>
      <c r="F16" s="8"/>
      <c r="G16" s="8"/>
      <c r="H16" s="8"/>
      <c r="I16" s="8"/>
      <c r="J16" s="8"/>
      <c r="K16" s="8"/>
      <c r="L16" s="8"/>
    </row>
    <row r="17" spans="1:2" s="21" customFormat="1" x14ac:dyDescent="0.2">
      <c r="A17" s="20" t="str">
        <f>"DROP TABLE IF EXISTS "&amp;$B$1&amp;";"</f>
        <v>DROP TABLE IF EXISTS KhachHang;</v>
      </c>
    </row>
    <row r="18" spans="1:2" s="21" customFormat="1" x14ac:dyDescent="0.2">
      <c r="A18" s="22" t="str">
        <f>"CREATE TABLE "&amp;$B$1&amp;"("</f>
        <v>CREATE TABLE KhachHang(</v>
      </c>
    </row>
    <row r="19" spans="1:2" s="21" customFormat="1" x14ac:dyDescent="0.2">
      <c r="B19" s="21" t="str">
        <f>A4&amp;" "&amp;B4&amp;IF(AND(B4&lt;&gt;"int",B4&lt;&gt;"bigint",B4&lt;&gt;"bit",B4&lt;&gt;"float",B4&lt;&gt;"datetime",B4&lt;&gt;"smalldatetime",B4&lt;&gt;"timestamp",B4&lt;&gt;"xml"),"("&amp;C4&amp;") "," ")&amp;""&amp;IF(F4=FALSE,"NOT NULL","NULL")&amp;IF(G4&lt;&gt;""," DEFAULT ("&amp;G4&amp;")","")&amp;IF(H4=TRUE," AUTO_INCREMENT","")&amp;IF(A5&lt;&gt;"",", ","")</f>
        <v xml:space="preserve">id int NOT NULL AUTO_INCREMENT, </v>
      </c>
    </row>
    <row r="20" spans="1:2" s="21" customFormat="1" x14ac:dyDescent="0.2">
      <c r="B20" s="21" t="str">
        <f t="shared" ref="B20:B29" si="0">A5&amp;" "&amp;B5&amp;IF(AND(B5&lt;&gt;"int",B5&lt;&gt;"bigint",B5&lt;&gt;"bit",B5&lt;&gt;"float",B5&lt;&gt;"datetime",B5&lt;&gt;"smalldatetime",B5&lt;&gt;"timestamp",B5&lt;&gt;"xml"),"("&amp;C5&amp;") "," ")&amp;""&amp;IF(F5=FALSE,"NOT NULL","NULL")&amp;IF(G5&lt;&gt;""," DEFAULT ("&amp;G5&amp;")","")&amp;IF(H5=TRUE," AUTO_INCREMENT","")&amp;IF(A6&lt;&gt;"",", ","")</f>
        <v xml:space="preserve">ho_ten nvarchar(128) NOT NULL, </v>
      </c>
    </row>
    <row r="21" spans="1:2" s="21" customFormat="1" x14ac:dyDescent="0.2">
      <c r="B21" s="21" t="str">
        <f t="shared" si="0"/>
        <v xml:space="preserve">anh_dai_dien nvarchar(256) NOT NULL, </v>
      </c>
    </row>
    <row r="22" spans="1:2" s="21" customFormat="1" x14ac:dyDescent="0.2">
      <c r="B22" s="21" t="str">
        <f t="shared" si="0"/>
        <v xml:space="preserve">sdt nvarchar(64) NOT NULL, </v>
      </c>
    </row>
    <row r="23" spans="1:2" s="21" customFormat="1" x14ac:dyDescent="0.2">
      <c r="B23" s="21" t="str">
        <f t="shared" si="0"/>
        <v xml:space="preserve">dia_chi nvarchar(256) NOT NULL, </v>
      </c>
    </row>
    <row r="24" spans="1:2" s="21" customFormat="1" x14ac:dyDescent="0.2">
      <c r="B24" s="21" t="str">
        <f t="shared" si="0"/>
        <v xml:space="preserve">ma_giay_to_tuy_than int NOT NULL, </v>
      </c>
    </row>
    <row r="25" spans="1:2" s="21" customFormat="1" x14ac:dyDescent="0.2">
      <c r="B25" s="21" t="str">
        <f t="shared" si="0"/>
        <v xml:space="preserve">trang_thai varchar(32) NOT NULL, </v>
      </c>
    </row>
    <row r="26" spans="1:2" s="21" customFormat="1" x14ac:dyDescent="0.2">
      <c r="B26" s="21" t="str">
        <f t="shared" si="0"/>
        <v xml:space="preserve">ngay_tao datetime NULL, </v>
      </c>
    </row>
    <row r="27" spans="1:2" s="21" customFormat="1" x14ac:dyDescent="0.2">
      <c r="B27" s="21" t="str">
        <f t="shared" si="0"/>
        <v xml:space="preserve">nguoi_tao nvarchar(64) NULL, </v>
      </c>
    </row>
    <row r="28" spans="1:2" s="21" customFormat="1" x14ac:dyDescent="0.2">
      <c r="B28" s="21" t="str">
        <f t="shared" si="0"/>
        <v xml:space="preserve">ngay_cap_nhat datetime NULL, </v>
      </c>
    </row>
    <row r="29" spans="1:2" s="21" customFormat="1" x14ac:dyDescent="0.2">
      <c r="B29" s="21" t="str">
        <f t="shared" si="0"/>
        <v>nguoi_cap_nhat nvarchar(64) NULL</v>
      </c>
    </row>
    <row r="30" spans="1:2" s="21" customFormat="1" x14ac:dyDescent="0.2">
      <c r="A30" s="21" t="s">
        <v>34</v>
      </c>
    </row>
    <row r="31" spans="1:2" s="21" customFormat="1" x14ac:dyDescent="0.2">
      <c r="B31" s="5" t="str">
        <f>IF(D4=TRUE, A4&amp;IF(D5="", "", ", "), "")</f>
        <v>id</v>
      </c>
    </row>
    <row r="32" spans="1:2" s="21" customFormat="1" x14ac:dyDescent="0.2">
      <c r="B32" s="5" t="str">
        <f>IF(D5=TRUE, A5&amp;IF(D9="", "", ", "), "")</f>
        <v/>
      </c>
    </row>
    <row r="33" spans="1:12" s="21" customFormat="1" x14ac:dyDescent="0.2">
      <c r="B33" s="5" t="str">
        <f>IF(D9=TRUE, A9&amp;IF(D7="", "", ", "), "")</f>
        <v/>
      </c>
    </row>
    <row r="34" spans="1:12" s="21" customFormat="1" x14ac:dyDescent="0.2">
      <c r="B34" s="5" t="str">
        <f>IF(D7=TRUE, A7&amp;IF(D10="", "", ", "), "")</f>
        <v/>
      </c>
    </row>
    <row r="35" spans="1:12" s="21" customFormat="1" x14ac:dyDescent="0.2">
      <c r="B35" s="5" t="str">
        <f t="shared" ref="B35" si="1">IF(D10=TRUE, A10&amp;IF(D11="", "", ", "), "")</f>
        <v/>
      </c>
    </row>
    <row r="36" spans="1:12" s="21" customFormat="1" x14ac:dyDescent="0.2">
      <c r="B36" s="21" t="s">
        <v>35</v>
      </c>
    </row>
    <row r="37" spans="1:12" s="21" customFormat="1" x14ac:dyDescent="0.2">
      <c r="A37" s="21" t="s">
        <v>33</v>
      </c>
    </row>
    <row r="38" spans="1:12" x14ac:dyDescent="0.2">
      <c r="A38" s="2"/>
      <c r="B38" s="2"/>
      <c r="C38" s="2"/>
      <c r="D38" s="2"/>
      <c r="E38" s="2"/>
      <c r="F38" s="3"/>
      <c r="G38" s="2"/>
      <c r="H38" s="2"/>
      <c r="I38" s="4"/>
      <c r="J38" s="4"/>
      <c r="K38" s="2"/>
      <c r="L38" s="2"/>
    </row>
    <row r="39" spans="1:12" x14ac:dyDescent="0.2">
      <c r="C39" t="s">
        <v>23</v>
      </c>
    </row>
    <row r="42" spans="1:12" x14ac:dyDescent="0.2">
      <c r="A42" s="19" t="s">
        <v>24</v>
      </c>
      <c r="B42" s="19" t="str">
        <f>B1</f>
        <v>KhachHang</v>
      </c>
      <c r="C42" s="19"/>
    </row>
    <row r="43" spans="1:12" x14ac:dyDescent="0.2">
      <c r="A43" s="19" t="s">
        <v>25</v>
      </c>
      <c r="B43" s="19"/>
      <c r="C43" s="19"/>
    </row>
    <row r="44" spans="1:12" x14ac:dyDescent="0.2">
      <c r="A44" s="19"/>
      <c r="B44" s="19" t="s">
        <v>26</v>
      </c>
      <c r="C44" s="19"/>
    </row>
    <row r="45" spans="1:12" x14ac:dyDescent="0.2">
      <c r="A45" s="19"/>
      <c r="B45" s="19" t="s">
        <v>27</v>
      </c>
      <c r="C45" s="19"/>
    </row>
    <row r="46" spans="1:12" x14ac:dyDescent="0.2">
      <c r="A46" s="19" t="s">
        <v>28</v>
      </c>
      <c r="B46" s="19" t="str">
        <f>IF(OR($B4="nvarchar",$B4="varchar"),"string",IF($B4="datetime","DateTime",$B4))</f>
        <v>int</v>
      </c>
      <c r="C46" s="19" t="str">
        <f>$A4&amp;" "&amp;$C$39</f>
        <v>id  { get; set; }</v>
      </c>
    </row>
    <row r="47" spans="1:12" x14ac:dyDescent="0.2">
      <c r="A47" s="19" t="s">
        <v>28</v>
      </c>
      <c r="B47" s="19" t="str">
        <f t="shared" ref="B47:B56" si="2">IF(OR($B5="nvarchar",$B5="varchar"),"string",IF($B5="datetime","DateTime",$B5))</f>
        <v>string</v>
      </c>
      <c r="C47" s="19" t="str">
        <f t="shared" ref="C47:C56" si="3">$A5&amp;" "&amp;$C$39</f>
        <v>ho_ten  { get; set; }</v>
      </c>
    </row>
    <row r="48" spans="1:12" x14ac:dyDescent="0.2">
      <c r="A48" s="19" t="s">
        <v>28</v>
      </c>
      <c r="B48" s="19" t="str">
        <f t="shared" si="2"/>
        <v>string</v>
      </c>
      <c r="C48" s="19" t="str">
        <f t="shared" si="3"/>
        <v>anh_dai_dien  { get; set; }</v>
      </c>
    </row>
    <row r="49" spans="1:3" x14ac:dyDescent="0.2">
      <c r="A49" s="19" t="s">
        <v>28</v>
      </c>
      <c r="B49" s="19" t="str">
        <f t="shared" si="2"/>
        <v>string</v>
      </c>
      <c r="C49" s="19" t="str">
        <f t="shared" si="3"/>
        <v>sdt  { get; set; }</v>
      </c>
    </row>
    <row r="50" spans="1:3" x14ac:dyDescent="0.2">
      <c r="A50" s="19" t="s">
        <v>28</v>
      </c>
      <c r="B50" s="19" t="str">
        <f t="shared" si="2"/>
        <v>string</v>
      </c>
      <c r="C50" s="19" t="str">
        <f t="shared" si="3"/>
        <v>dia_chi  { get; set; }</v>
      </c>
    </row>
    <row r="51" spans="1:3" x14ac:dyDescent="0.2">
      <c r="A51" s="19" t="s">
        <v>28</v>
      </c>
      <c r="B51" s="19" t="str">
        <f t="shared" si="2"/>
        <v>int</v>
      </c>
      <c r="C51" s="19" t="str">
        <f t="shared" si="3"/>
        <v>ma_giay_to_tuy_than  { get; set; }</v>
      </c>
    </row>
    <row r="52" spans="1:3" x14ac:dyDescent="0.2">
      <c r="A52" s="19" t="s">
        <v>28</v>
      </c>
      <c r="B52" s="19" t="str">
        <f t="shared" si="2"/>
        <v>string</v>
      </c>
      <c r="C52" s="19" t="str">
        <f t="shared" si="3"/>
        <v>trang_thai  { get; set; }</v>
      </c>
    </row>
    <row r="53" spans="1:3" x14ac:dyDescent="0.2">
      <c r="A53" s="19" t="s">
        <v>28</v>
      </c>
      <c r="B53" s="19" t="str">
        <f t="shared" si="2"/>
        <v>DateTime</v>
      </c>
      <c r="C53" s="19" t="str">
        <f t="shared" si="3"/>
        <v>ngay_tao  { get; set; }</v>
      </c>
    </row>
    <row r="54" spans="1:3" x14ac:dyDescent="0.2">
      <c r="A54" s="19" t="s">
        <v>28</v>
      </c>
      <c r="B54" s="19" t="str">
        <f t="shared" si="2"/>
        <v>string</v>
      </c>
      <c r="C54" s="19" t="str">
        <f t="shared" si="3"/>
        <v>nguoi_tao  { get; set; }</v>
      </c>
    </row>
    <row r="55" spans="1:3" x14ac:dyDescent="0.2">
      <c r="A55" s="19" t="s">
        <v>28</v>
      </c>
      <c r="B55" s="19" t="str">
        <f t="shared" si="2"/>
        <v>DateTime</v>
      </c>
      <c r="C55" s="19" t="str">
        <f t="shared" si="3"/>
        <v>ngay_cap_nhat  { get; set; }</v>
      </c>
    </row>
    <row r="56" spans="1:3" x14ac:dyDescent="0.2">
      <c r="A56" s="19" t="s">
        <v>28</v>
      </c>
      <c r="B56" s="19" t="str">
        <f t="shared" si="2"/>
        <v>string</v>
      </c>
      <c r="C56" s="19" t="str">
        <f t="shared" si="3"/>
        <v>nguoi_cap_nhat  { get; set; }</v>
      </c>
    </row>
    <row r="57" spans="1:3" x14ac:dyDescent="0.2">
      <c r="A57" s="19" t="s">
        <v>29</v>
      </c>
      <c r="B57" s="19"/>
      <c r="C57" s="19"/>
    </row>
  </sheetData>
  <mergeCells count="1">
    <mergeCell ref="A16:B16"/>
  </mergeCells>
  <hyperlinks>
    <hyperlink ref="D1" location="'Sheet List'!A1" display="back to list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70C0"/>
  </sheetPr>
  <dimension ref="A1:L59"/>
  <sheetViews>
    <sheetView workbookViewId="0">
      <selection activeCell="C28" sqref="C28"/>
    </sheetView>
  </sheetViews>
  <sheetFormatPr defaultRowHeight="12.75" x14ac:dyDescent="0.2"/>
  <cols>
    <col min="1" max="1" width="23.85546875" customWidth="1"/>
    <col min="2" max="2" width="29.7109375" customWidth="1"/>
    <col min="3" max="3" width="35.28515625" bestFit="1" customWidth="1"/>
    <col min="4" max="4" width="12.140625" bestFit="1" customWidth="1"/>
    <col min="5" max="5" width="19.28515625" bestFit="1" customWidth="1"/>
    <col min="6" max="6" width="10.140625" customWidth="1"/>
    <col min="7" max="8" width="10.42578125" bestFit="1" customWidth="1"/>
    <col min="9" max="9" width="50.7109375" bestFit="1" customWidth="1"/>
    <col min="10" max="10" width="9" customWidth="1"/>
    <col min="14" max="14" width="3" bestFit="1" customWidth="1"/>
    <col min="15" max="26" width="15.7109375" customWidth="1"/>
  </cols>
  <sheetData>
    <row r="1" spans="1:10" x14ac:dyDescent="0.2">
      <c r="A1" s="1" t="s">
        <v>8</v>
      </c>
      <c r="B1" s="1" t="s">
        <v>63</v>
      </c>
      <c r="D1" s="16" t="s">
        <v>14</v>
      </c>
    </row>
    <row r="3" spans="1:10" x14ac:dyDescent="0.2">
      <c r="A3" s="9" t="s">
        <v>0</v>
      </c>
      <c r="B3" s="10" t="s">
        <v>1</v>
      </c>
      <c r="C3" s="10" t="s">
        <v>11</v>
      </c>
      <c r="D3" s="10" t="s">
        <v>2</v>
      </c>
      <c r="E3" s="10" t="s">
        <v>3</v>
      </c>
      <c r="F3" s="10" t="s">
        <v>4</v>
      </c>
      <c r="G3" s="10" t="s">
        <v>5</v>
      </c>
      <c r="H3" s="10" t="s">
        <v>12</v>
      </c>
      <c r="I3" s="11" t="s">
        <v>6</v>
      </c>
      <c r="J3" s="15"/>
    </row>
    <row r="4" spans="1:10" x14ac:dyDescent="0.2">
      <c r="A4" s="28" t="s">
        <v>21</v>
      </c>
      <c r="B4" s="13" t="s">
        <v>15</v>
      </c>
      <c r="C4" s="17"/>
      <c r="D4" s="13" t="b">
        <v>1</v>
      </c>
      <c r="E4" s="13"/>
      <c r="F4" s="13" t="b">
        <v>0</v>
      </c>
      <c r="G4" s="13"/>
      <c r="H4" s="13" t="b">
        <v>1</v>
      </c>
      <c r="I4" s="14"/>
      <c r="J4" s="15"/>
    </row>
    <row r="5" spans="1:10" x14ac:dyDescent="0.2">
      <c r="A5" s="28" t="s">
        <v>58</v>
      </c>
      <c r="B5" s="13" t="s">
        <v>16</v>
      </c>
      <c r="C5" s="17">
        <v>256</v>
      </c>
      <c r="D5" s="13"/>
      <c r="E5" s="13"/>
      <c r="F5" s="13" t="b">
        <v>0</v>
      </c>
      <c r="G5" s="13"/>
      <c r="H5" s="13"/>
      <c r="I5" s="14"/>
      <c r="J5" s="15"/>
    </row>
    <row r="6" spans="1:10" x14ac:dyDescent="0.2">
      <c r="A6" s="28" t="s">
        <v>59</v>
      </c>
      <c r="B6" s="13" t="s">
        <v>16</v>
      </c>
      <c r="C6" s="17">
        <v>128</v>
      </c>
      <c r="D6" s="13"/>
      <c r="E6" s="13"/>
      <c r="F6" s="13" t="b">
        <v>0</v>
      </c>
      <c r="G6" s="13"/>
      <c r="H6" s="13"/>
      <c r="I6" s="14"/>
      <c r="J6" s="15"/>
    </row>
    <row r="7" spans="1:10" x14ac:dyDescent="0.2">
      <c r="A7" s="12" t="s">
        <v>60</v>
      </c>
      <c r="B7" s="13" t="s">
        <v>16</v>
      </c>
      <c r="C7" s="17">
        <v>256</v>
      </c>
      <c r="D7" s="13"/>
      <c r="E7" s="13"/>
      <c r="F7" s="13" t="b">
        <v>0</v>
      </c>
      <c r="G7" s="13"/>
      <c r="H7" s="13"/>
      <c r="I7" s="14"/>
      <c r="J7" s="15"/>
    </row>
    <row r="8" spans="1:10" x14ac:dyDescent="0.2">
      <c r="A8" s="28" t="s">
        <v>55</v>
      </c>
      <c r="B8" s="13" t="s">
        <v>9</v>
      </c>
      <c r="D8" s="13"/>
      <c r="E8" s="13"/>
      <c r="F8" s="13" t="b">
        <v>0</v>
      </c>
      <c r="G8" s="13"/>
      <c r="H8" s="13"/>
      <c r="I8" s="14" t="s">
        <v>56</v>
      </c>
      <c r="J8" s="15"/>
    </row>
    <row r="9" spans="1:10" x14ac:dyDescent="0.2">
      <c r="A9" s="28" t="s">
        <v>54</v>
      </c>
      <c r="B9" s="13" t="s">
        <v>16</v>
      </c>
      <c r="C9">
        <v>256</v>
      </c>
      <c r="D9" s="13"/>
      <c r="E9" s="13"/>
      <c r="F9" s="13" t="b">
        <v>0</v>
      </c>
      <c r="G9" s="13"/>
      <c r="H9" s="13"/>
      <c r="I9" s="14" t="s">
        <v>57</v>
      </c>
      <c r="J9" s="15"/>
    </row>
    <row r="10" spans="1:10" x14ac:dyDescent="0.2">
      <c r="A10" s="28" t="s">
        <v>31</v>
      </c>
      <c r="B10" s="13" t="s">
        <v>16</v>
      </c>
      <c r="C10">
        <v>512</v>
      </c>
      <c r="D10" s="13"/>
      <c r="E10" s="13"/>
      <c r="F10" s="13" t="b">
        <v>0</v>
      </c>
      <c r="G10" s="13"/>
      <c r="H10" s="13"/>
      <c r="I10" s="14" t="s">
        <v>62</v>
      </c>
      <c r="J10" s="15"/>
    </row>
    <row r="11" spans="1:10" x14ac:dyDescent="0.2">
      <c r="A11" s="18" t="s">
        <v>40</v>
      </c>
      <c r="B11" s="27" t="s">
        <v>16</v>
      </c>
      <c r="C11" t="s">
        <v>61</v>
      </c>
      <c r="F11" s="27" t="b">
        <v>1</v>
      </c>
    </row>
    <row r="12" spans="1:10" x14ac:dyDescent="0.2">
      <c r="A12" s="12" t="s">
        <v>55</v>
      </c>
      <c r="B12" s="13" t="s">
        <v>7</v>
      </c>
      <c r="C12" s="17">
        <v>32</v>
      </c>
      <c r="D12" s="13"/>
      <c r="E12" s="13"/>
      <c r="F12" s="13" t="b">
        <v>0</v>
      </c>
      <c r="G12" s="13"/>
      <c r="H12" s="13"/>
      <c r="I12" s="14"/>
      <c r="J12" s="15"/>
    </row>
    <row r="13" spans="1:10" x14ac:dyDescent="0.2">
      <c r="A13" s="12" t="s">
        <v>17</v>
      </c>
      <c r="B13" s="13" t="s">
        <v>9</v>
      </c>
      <c r="D13" s="13"/>
      <c r="E13" s="13"/>
      <c r="F13" s="13" t="b">
        <v>1</v>
      </c>
      <c r="G13" s="13"/>
      <c r="H13" s="13"/>
      <c r="I13" s="14"/>
      <c r="J13" s="15"/>
    </row>
    <row r="14" spans="1:10" x14ac:dyDescent="0.2">
      <c r="A14" s="12" t="s">
        <v>18</v>
      </c>
      <c r="B14" s="13" t="s">
        <v>16</v>
      </c>
      <c r="C14" s="17">
        <v>64</v>
      </c>
      <c r="D14" s="13"/>
      <c r="E14" s="13"/>
      <c r="F14" s="13" t="b">
        <v>1</v>
      </c>
      <c r="G14" s="13"/>
      <c r="H14" s="13"/>
      <c r="I14" s="14"/>
      <c r="J14" s="15"/>
    </row>
    <row r="15" spans="1:10" x14ac:dyDescent="0.2">
      <c r="A15" s="12" t="s">
        <v>19</v>
      </c>
      <c r="B15" s="13" t="s">
        <v>9</v>
      </c>
      <c r="C15" s="17"/>
      <c r="D15" s="13"/>
      <c r="E15" s="13"/>
      <c r="F15" s="13" t="b">
        <v>1</v>
      </c>
      <c r="G15" s="13"/>
      <c r="H15" s="13"/>
      <c r="I15" s="14"/>
      <c r="J15" s="15"/>
    </row>
    <row r="16" spans="1:10" x14ac:dyDescent="0.2">
      <c r="A16" s="12" t="s">
        <v>20</v>
      </c>
      <c r="B16" s="13" t="s">
        <v>16</v>
      </c>
      <c r="C16" s="17">
        <v>64</v>
      </c>
      <c r="D16" s="13"/>
      <c r="E16" s="13"/>
      <c r="F16" s="13" t="b">
        <v>1</v>
      </c>
      <c r="G16" s="13"/>
      <c r="H16" s="13"/>
      <c r="I16" s="14"/>
      <c r="J16" s="15"/>
    </row>
    <row r="17" spans="1:12" ht="13.5" thickBot="1" x14ac:dyDescent="0.25"/>
    <row r="18" spans="1:12" ht="13.5" thickBot="1" x14ac:dyDescent="0.25">
      <c r="A18" s="30" t="s">
        <v>10</v>
      </c>
      <c r="B18" s="31"/>
      <c r="C18" s="6"/>
      <c r="D18" s="7"/>
      <c r="E18" s="7"/>
      <c r="F18" s="8"/>
      <c r="G18" s="8"/>
      <c r="H18" s="8"/>
      <c r="I18" s="8"/>
      <c r="J18" s="8"/>
      <c r="K18" s="8"/>
      <c r="L18" s="8"/>
    </row>
    <row r="19" spans="1:12" s="21" customFormat="1" x14ac:dyDescent="0.2">
      <c r="A19" s="20" t="str">
        <f>"DROP TABLE IF EXISTS "&amp;$B$1&amp;";"</f>
        <v>DROP TABLE IF EXISTS GiayTo;</v>
      </c>
    </row>
    <row r="20" spans="1:12" s="21" customFormat="1" x14ac:dyDescent="0.2">
      <c r="A20" s="22" t="str">
        <f>"CREATE TABLE "&amp;$B$1&amp;"("</f>
        <v>CREATE TABLE GiayTo(</v>
      </c>
    </row>
    <row r="21" spans="1:12" s="21" customFormat="1" x14ac:dyDescent="0.2">
      <c r="B21" s="21" t="str">
        <f>A4&amp;" "&amp;B4&amp;IF(AND(B4&lt;&gt;"int",B4&lt;&gt;"bigint",B4&lt;&gt;"bit",B4&lt;&gt;"float",B4&lt;&gt;"datetime",B4&lt;&gt;"smalldatetime",B4&lt;&gt;"timestamp",B4&lt;&gt;"xml"),"("&amp;C4&amp;") "," ")&amp;""&amp;IF(F4=FALSE,"NOT NULL","NULL")&amp;IF(G4&lt;&gt;""," DEFAULT ("&amp;G4&amp;")","")&amp;IF(H4=TRUE," AUTO_INCREMENT","")&amp;IF(A5&lt;&gt;"",", ","")</f>
        <v xml:space="preserve">id int NOT NULL AUTO_INCREMENT, </v>
      </c>
    </row>
    <row r="22" spans="1:12" s="21" customFormat="1" x14ac:dyDescent="0.2">
      <c r="B22" s="21" t="str">
        <f t="shared" ref="B22:B33" si="0">A5&amp;" "&amp;B5&amp;IF(AND(B5&lt;&gt;"int",B5&lt;&gt;"bigint",B5&lt;&gt;"bit",B5&lt;&gt;"float",B5&lt;&gt;"datetime",B5&lt;&gt;"smalldatetime",B5&lt;&gt;"timestamp",B5&lt;&gt;"xml"),"("&amp;C5&amp;") "," ")&amp;""&amp;IF(F5=FALSE,"NOT NULL","NULL")&amp;IF(G5&lt;&gt;""," DEFAULT ("&amp;G5&amp;")","")&amp;IF(H5=TRUE," AUTO_INCREMENT","")&amp;IF(A6&lt;&gt;"",", ","")</f>
        <v xml:space="preserve">ten_giay_to nvarchar(256) NOT NULL, </v>
      </c>
    </row>
    <row r="23" spans="1:12" s="21" customFormat="1" x14ac:dyDescent="0.2">
      <c r="B23" s="21" t="str">
        <f t="shared" si="0"/>
        <v xml:space="preserve">loai_giay_to nvarchar(128) NOT NULL, </v>
      </c>
    </row>
    <row r="24" spans="1:12" s="21" customFormat="1" x14ac:dyDescent="0.2">
      <c r="B24" s="21" t="str">
        <f t="shared" si="0"/>
        <v xml:space="preserve">ma_so_giay_to nvarchar(256) NOT NULL, </v>
      </c>
    </row>
    <row r="25" spans="1:12" s="21" customFormat="1" x14ac:dyDescent="0.2">
      <c r="B25" s="21" t="str">
        <f t="shared" si="0"/>
        <v xml:space="preserve">ngay_cap datetime NOT NULL, </v>
      </c>
    </row>
    <row r="26" spans="1:12" s="21" customFormat="1" x14ac:dyDescent="0.2">
      <c r="B26" s="21" t="str">
        <f t="shared" si="0"/>
        <v xml:space="preserve">noi_cap nvarchar(256) NOT NULL, </v>
      </c>
    </row>
    <row r="27" spans="1:12" s="21" customFormat="1" x14ac:dyDescent="0.2">
      <c r="B27" s="21" t="str">
        <f t="shared" si="0"/>
        <v xml:space="preserve">url nvarchar(512) NOT NULL, </v>
      </c>
    </row>
    <row r="28" spans="1:12" s="21" customFormat="1" x14ac:dyDescent="0.2">
      <c r="B28" s="21" t="str">
        <f t="shared" si="0"/>
        <v xml:space="preserve">ghi_chu nvarchar(max) NULL, </v>
      </c>
    </row>
    <row r="29" spans="1:12" s="21" customFormat="1" x14ac:dyDescent="0.2">
      <c r="B29" s="21" t="str">
        <f t="shared" si="0"/>
        <v xml:space="preserve">ngay_cap varchar(32) NOT NULL, </v>
      </c>
    </row>
    <row r="30" spans="1:12" s="21" customFormat="1" x14ac:dyDescent="0.2">
      <c r="B30" s="21" t="str">
        <f t="shared" si="0"/>
        <v xml:space="preserve">ngay_tao datetime NULL, </v>
      </c>
    </row>
    <row r="31" spans="1:12" s="21" customFormat="1" x14ac:dyDescent="0.2">
      <c r="B31" s="21" t="str">
        <f t="shared" si="0"/>
        <v xml:space="preserve">nguoi_tao nvarchar(64) NULL, </v>
      </c>
    </row>
    <row r="32" spans="1:12" s="21" customFormat="1" x14ac:dyDescent="0.2">
      <c r="B32" s="21" t="str">
        <f t="shared" si="0"/>
        <v xml:space="preserve">ngay_cap_nhat datetime NULL, </v>
      </c>
    </row>
    <row r="33" spans="1:12" s="21" customFormat="1" x14ac:dyDescent="0.2">
      <c r="B33" s="21" t="str">
        <f t="shared" si="0"/>
        <v>nguoi_cap_nhat nvarchar(64) NULL</v>
      </c>
    </row>
    <row r="34" spans="1:12" s="21" customFormat="1" x14ac:dyDescent="0.2">
      <c r="A34" s="21" t="s">
        <v>34</v>
      </c>
    </row>
    <row r="35" spans="1:12" s="21" customFormat="1" x14ac:dyDescent="0.2">
      <c r="B35" s="5" t="str">
        <f>IF(D4=TRUE, A4&amp;IF(D5="", "", ", "), "")</f>
        <v>id</v>
      </c>
    </row>
    <row r="36" spans="1:12" s="21" customFormat="1" x14ac:dyDescent="0.2">
      <c r="B36" s="5" t="str">
        <f>IF(D5=TRUE, A5&amp;IF(D6="", "", ", "), "")</f>
        <v/>
      </c>
    </row>
    <row r="37" spans="1:12" s="21" customFormat="1" x14ac:dyDescent="0.2">
      <c r="B37" s="5" t="str">
        <f>IF(D6=TRUE, A6&amp;IF(D7="", "", ", "), "")</f>
        <v/>
      </c>
    </row>
    <row r="38" spans="1:12" s="21" customFormat="1" x14ac:dyDescent="0.2">
      <c r="B38" s="5" t="str">
        <f>IF(D7=TRUE, A7&amp;IF(D12="", "", ", "), "")</f>
        <v/>
      </c>
    </row>
    <row r="39" spans="1:12" s="21" customFormat="1" x14ac:dyDescent="0.2">
      <c r="B39" s="5" t="str">
        <f t="shared" ref="B39" si="1">IF(D12=TRUE, A12&amp;IF(D13="", "", ", "), "")</f>
        <v/>
      </c>
    </row>
    <row r="40" spans="1:12" s="21" customFormat="1" x14ac:dyDescent="0.2">
      <c r="B40" s="21" t="s">
        <v>35</v>
      </c>
    </row>
    <row r="41" spans="1:12" s="21" customFormat="1" x14ac:dyDescent="0.2">
      <c r="A41" s="21" t="s">
        <v>33</v>
      </c>
    </row>
    <row r="42" spans="1:12" x14ac:dyDescent="0.2">
      <c r="A42" s="2"/>
      <c r="B42" s="2"/>
      <c r="C42" s="2"/>
      <c r="D42" s="2"/>
      <c r="E42" s="2"/>
      <c r="F42" s="3"/>
      <c r="G42" s="2"/>
      <c r="H42" s="2"/>
      <c r="I42" s="4"/>
      <c r="J42" s="4"/>
      <c r="K42" s="2"/>
      <c r="L42" s="2"/>
    </row>
    <row r="43" spans="1:12" x14ac:dyDescent="0.2">
      <c r="C43" t="s">
        <v>23</v>
      </c>
    </row>
    <row r="46" spans="1:12" x14ac:dyDescent="0.2">
      <c r="A46" s="19" t="s">
        <v>24</v>
      </c>
      <c r="B46" s="19" t="str">
        <f>B1</f>
        <v>GiayTo</v>
      </c>
      <c r="C46" s="19"/>
    </row>
    <row r="47" spans="1:12" x14ac:dyDescent="0.2">
      <c r="A47" s="19" t="s">
        <v>25</v>
      </c>
      <c r="B47" s="19"/>
      <c r="C47" s="19"/>
    </row>
    <row r="48" spans="1:12" x14ac:dyDescent="0.2">
      <c r="A48" s="19"/>
      <c r="B48" s="19" t="s">
        <v>26</v>
      </c>
      <c r="C48" s="19"/>
    </row>
    <row r="49" spans="1:3" x14ac:dyDescent="0.2">
      <c r="A49" s="19"/>
      <c r="B49" s="19" t="s">
        <v>27</v>
      </c>
      <c r="C49" s="19"/>
    </row>
    <row r="50" spans="1:3" x14ac:dyDescent="0.2">
      <c r="A50" s="19" t="s">
        <v>28</v>
      </c>
      <c r="B50" s="19" t="str">
        <f>IF(OR($B4="nvarchar",$B4="varchar"),"string",IF($B4="datetime","DateTime",$B4))</f>
        <v>int</v>
      </c>
      <c r="C50" s="19" t="str">
        <f>$A4&amp;" "&amp;$C$43</f>
        <v>id  { get; set; }</v>
      </c>
    </row>
    <row r="51" spans="1:3" x14ac:dyDescent="0.2">
      <c r="A51" s="19" t="s">
        <v>28</v>
      </c>
      <c r="B51" s="19" t="str">
        <f>IF(OR($B5="nvarchar",$B5="varchar"),"string",IF($B5="datetime","DateTime",$B5))</f>
        <v>string</v>
      </c>
      <c r="C51" s="19" t="str">
        <f>$A5&amp;" "&amp;$C$43</f>
        <v>ten_giay_to  { get; set; }</v>
      </c>
    </row>
    <row r="52" spans="1:3" x14ac:dyDescent="0.2">
      <c r="A52" s="19" t="s">
        <v>28</v>
      </c>
      <c r="B52" s="19" t="str">
        <f>IF(OR($B6="nvarchar",$B6="varchar"),"string",IF($B6="datetime","DateTime",$B6))</f>
        <v>string</v>
      </c>
      <c r="C52" s="19" t="str">
        <f>$A6&amp;" "&amp;$C$43</f>
        <v>loai_giay_to  { get; set; }</v>
      </c>
    </row>
    <row r="53" spans="1:3" x14ac:dyDescent="0.2">
      <c r="A53" s="19" t="s">
        <v>28</v>
      </c>
      <c r="B53" s="19" t="str">
        <f>IF(OR($B7="nvarchar",$B7="varchar"),"string",IF($B7="datetime","DateTime",$B7))</f>
        <v>string</v>
      </c>
      <c r="C53" s="19" t="str">
        <f>$A7&amp;" "&amp;$C$43</f>
        <v>ma_so_giay_to  { get; set; }</v>
      </c>
    </row>
    <row r="54" spans="1:3" x14ac:dyDescent="0.2">
      <c r="A54" s="19" t="s">
        <v>28</v>
      </c>
      <c r="B54" s="19" t="str">
        <f>IF(OR($B12="nvarchar",$B12="varchar"),"string",IF($B12="datetime","DateTime",$B12))</f>
        <v>string</v>
      </c>
      <c r="C54" s="19" t="str">
        <f>$A12&amp;" "&amp;$C$43</f>
        <v>ngay_cap  { get; set; }</v>
      </c>
    </row>
    <row r="55" spans="1:3" x14ac:dyDescent="0.2">
      <c r="A55" s="19" t="s">
        <v>28</v>
      </c>
      <c r="B55" s="19" t="str">
        <f>IF(OR($B13="nvarchar",$B13="varchar"),"string",IF($B13="datetime","DateTime",$B13))</f>
        <v>DateTime</v>
      </c>
      <c r="C55" s="19" t="str">
        <f>$A13&amp;" "&amp;$C$43</f>
        <v>ngay_tao  { get; set; }</v>
      </c>
    </row>
    <row r="56" spans="1:3" x14ac:dyDescent="0.2">
      <c r="A56" s="19" t="s">
        <v>28</v>
      </c>
      <c r="B56" s="19" t="str">
        <f>IF(OR($B14="nvarchar",$B14="varchar"),"string",IF($B14="datetime","DateTime",$B14))</f>
        <v>string</v>
      </c>
      <c r="C56" s="19" t="str">
        <f>$A14&amp;" "&amp;$C$43</f>
        <v>nguoi_tao  { get; set; }</v>
      </c>
    </row>
    <row r="57" spans="1:3" x14ac:dyDescent="0.2">
      <c r="A57" s="19" t="s">
        <v>28</v>
      </c>
      <c r="B57" s="19" t="str">
        <f>IF(OR($B15="nvarchar",$B15="varchar"),"string",IF($B15="datetime","DateTime",$B15))</f>
        <v>DateTime</v>
      </c>
      <c r="C57" s="19" t="str">
        <f>$A15&amp;" "&amp;$C$43</f>
        <v>ngay_cap_nhat  { get; set; }</v>
      </c>
    </row>
    <row r="58" spans="1:3" x14ac:dyDescent="0.2">
      <c r="A58" s="19" t="s">
        <v>28</v>
      </c>
      <c r="B58" s="19" t="str">
        <f>IF(OR($B16="nvarchar",$B16="varchar"),"string",IF($B16="datetime","DateTime",$B16))</f>
        <v>string</v>
      </c>
      <c r="C58" s="19" t="str">
        <f>$A16&amp;" "&amp;$C$43</f>
        <v>nguoi_cap_nhat  { get; set; }</v>
      </c>
    </row>
    <row r="59" spans="1:3" x14ac:dyDescent="0.2">
      <c r="A59" s="19" t="s">
        <v>29</v>
      </c>
      <c r="B59" s="19"/>
      <c r="C59" s="19"/>
    </row>
  </sheetData>
  <mergeCells count="1">
    <mergeCell ref="A18:B18"/>
  </mergeCells>
  <hyperlinks>
    <hyperlink ref="D1" location="'Sheet List'!A1" display="back to list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70C0"/>
  </sheetPr>
  <dimension ref="A1:L55"/>
  <sheetViews>
    <sheetView workbookViewId="0">
      <selection activeCell="C26" sqref="C26"/>
    </sheetView>
  </sheetViews>
  <sheetFormatPr defaultRowHeight="12.75" x14ac:dyDescent="0.2"/>
  <cols>
    <col min="1" max="1" width="23.85546875" customWidth="1"/>
    <col min="2" max="2" width="29.7109375" customWidth="1"/>
    <col min="3" max="3" width="35.28515625" bestFit="1" customWidth="1"/>
    <col min="4" max="4" width="12.140625" bestFit="1" customWidth="1"/>
    <col min="5" max="5" width="19.28515625" bestFit="1" customWidth="1"/>
    <col min="6" max="6" width="10.140625" customWidth="1"/>
    <col min="7" max="8" width="10.42578125" bestFit="1" customWidth="1"/>
    <col min="9" max="9" width="50.7109375" bestFit="1" customWidth="1"/>
    <col min="10" max="10" width="9" customWidth="1"/>
    <col min="14" max="14" width="3" bestFit="1" customWidth="1"/>
    <col min="15" max="26" width="15.7109375" customWidth="1"/>
  </cols>
  <sheetData>
    <row r="1" spans="1:12" x14ac:dyDescent="0.2">
      <c r="A1" s="1" t="s">
        <v>8</v>
      </c>
      <c r="B1" s="1" t="s">
        <v>43</v>
      </c>
      <c r="D1" s="16" t="s">
        <v>14</v>
      </c>
    </row>
    <row r="3" spans="1:12" x14ac:dyDescent="0.2">
      <c r="A3" s="9" t="s">
        <v>0</v>
      </c>
      <c r="B3" s="10" t="s">
        <v>1</v>
      </c>
      <c r="C3" s="10" t="s">
        <v>11</v>
      </c>
      <c r="D3" s="10" t="s">
        <v>2</v>
      </c>
      <c r="E3" s="10" t="s">
        <v>3</v>
      </c>
      <c r="F3" s="10" t="s">
        <v>4</v>
      </c>
      <c r="G3" s="10" t="s">
        <v>5</v>
      </c>
      <c r="H3" s="10" t="s">
        <v>12</v>
      </c>
      <c r="I3" s="11" t="s">
        <v>6</v>
      </c>
      <c r="J3" s="15"/>
    </row>
    <row r="4" spans="1:12" x14ac:dyDescent="0.2">
      <c r="A4" s="28" t="s">
        <v>21</v>
      </c>
      <c r="B4" s="13" t="s">
        <v>15</v>
      </c>
      <c r="C4" s="17"/>
      <c r="D4" s="13" t="b">
        <v>1</v>
      </c>
      <c r="E4" s="13"/>
      <c r="F4" s="13" t="b">
        <v>0</v>
      </c>
      <c r="G4" s="13"/>
      <c r="H4" s="13" t="b">
        <v>1</v>
      </c>
      <c r="I4" s="14"/>
      <c r="J4" s="15"/>
    </row>
    <row r="5" spans="1:12" x14ac:dyDescent="0.2">
      <c r="A5" s="28" t="s">
        <v>47</v>
      </c>
      <c r="B5" s="13" t="s">
        <v>16</v>
      </c>
      <c r="C5" s="17">
        <v>256</v>
      </c>
      <c r="D5" s="13"/>
      <c r="E5" s="13"/>
      <c r="F5" s="13" t="b">
        <v>0</v>
      </c>
      <c r="G5" s="13"/>
      <c r="H5" s="13"/>
      <c r="I5" s="14"/>
      <c r="J5" s="15"/>
    </row>
    <row r="6" spans="1:12" x14ac:dyDescent="0.2">
      <c r="A6" s="28" t="s">
        <v>39</v>
      </c>
      <c r="B6" s="13" t="s">
        <v>16</v>
      </c>
      <c r="C6" s="17">
        <v>128</v>
      </c>
      <c r="D6" s="13"/>
      <c r="E6" s="13"/>
      <c r="F6" s="13" t="b">
        <v>0</v>
      </c>
      <c r="G6" s="13"/>
      <c r="H6" s="13"/>
      <c r="I6" s="14"/>
      <c r="J6" s="15"/>
    </row>
    <row r="7" spans="1:12" x14ac:dyDescent="0.2">
      <c r="A7" s="28" t="s">
        <v>67</v>
      </c>
      <c r="B7" s="13" t="s">
        <v>15</v>
      </c>
      <c r="C7" s="17"/>
      <c r="D7" s="13"/>
      <c r="E7" s="13"/>
      <c r="F7" s="13" t="b">
        <v>1</v>
      </c>
      <c r="G7" s="13"/>
      <c r="H7" s="13"/>
      <c r="I7" s="14"/>
      <c r="J7" s="15"/>
    </row>
    <row r="8" spans="1:12" x14ac:dyDescent="0.2">
      <c r="A8" s="28" t="s">
        <v>68</v>
      </c>
      <c r="B8" s="13" t="s">
        <v>16</v>
      </c>
      <c r="C8" s="17">
        <v>512</v>
      </c>
      <c r="D8" s="13"/>
      <c r="E8" s="13"/>
      <c r="F8" s="13" t="b">
        <v>0</v>
      </c>
      <c r="G8" s="13"/>
      <c r="H8" s="13"/>
      <c r="I8" s="14" t="s">
        <v>69</v>
      </c>
      <c r="J8" s="15"/>
    </row>
    <row r="9" spans="1:12" x14ac:dyDescent="0.2">
      <c r="A9" s="12" t="s">
        <v>41</v>
      </c>
      <c r="B9" s="13" t="s">
        <v>32</v>
      </c>
      <c r="C9" s="17"/>
      <c r="D9" s="13"/>
      <c r="E9" s="13"/>
      <c r="F9" s="13" t="b">
        <v>0</v>
      </c>
      <c r="G9" s="13"/>
      <c r="H9" s="13"/>
      <c r="I9" s="14"/>
      <c r="J9" s="15"/>
    </row>
    <row r="10" spans="1:12" x14ac:dyDescent="0.2">
      <c r="A10" s="12" t="s">
        <v>30</v>
      </c>
      <c r="B10" s="13" t="s">
        <v>7</v>
      </c>
      <c r="C10" s="17">
        <v>32</v>
      </c>
      <c r="D10" s="13"/>
      <c r="E10" s="13"/>
      <c r="F10" s="13" t="b">
        <v>0</v>
      </c>
      <c r="G10" s="13"/>
      <c r="H10" s="13"/>
      <c r="I10" s="14"/>
      <c r="J10" s="15"/>
    </row>
    <row r="11" spans="1:12" x14ac:dyDescent="0.2">
      <c r="A11" s="12" t="s">
        <v>17</v>
      </c>
      <c r="B11" s="13" t="s">
        <v>9</v>
      </c>
      <c r="D11" s="13"/>
      <c r="E11" s="13"/>
      <c r="F11" s="13" t="b">
        <v>1</v>
      </c>
      <c r="G11" s="13"/>
      <c r="H11" s="13"/>
      <c r="I11" s="14"/>
      <c r="J11" s="15"/>
    </row>
    <row r="12" spans="1:12" x14ac:dyDescent="0.2">
      <c r="A12" s="12" t="s">
        <v>18</v>
      </c>
      <c r="B12" s="13" t="s">
        <v>16</v>
      </c>
      <c r="C12" s="17">
        <v>64</v>
      </c>
      <c r="D12" s="13"/>
      <c r="E12" s="13"/>
      <c r="F12" s="13" t="b">
        <v>1</v>
      </c>
      <c r="G12" s="13"/>
      <c r="H12" s="13"/>
      <c r="I12" s="14"/>
      <c r="J12" s="15"/>
    </row>
    <row r="13" spans="1:12" x14ac:dyDescent="0.2">
      <c r="A13" s="12" t="s">
        <v>19</v>
      </c>
      <c r="B13" s="13" t="s">
        <v>9</v>
      </c>
      <c r="C13" s="17"/>
      <c r="D13" s="13"/>
      <c r="E13" s="13"/>
      <c r="F13" s="13" t="b">
        <v>1</v>
      </c>
      <c r="G13" s="13"/>
      <c r="H13" s="13"/>
      <c r="I13" s="14"/>
      <c r="J13" s="15"/>
    </row>
    <row r="14" spans="1:12" x14ac:dyDescent="0.2">
      <c r="A14" s="12" t="s">
        <v>20</v>
      </c>
      <c r="B14" s="13" t="s">
        <v>16</v>
      </c>
      <c r="C14" s="17">
        <v>64</v>
      </c>
      <c r="D14" s="13"/>
      <c r="E14" s="13"/>
      <c r="F14" s="13" t="b">
        <v>1</v>
      </c>
      <c r="G14" s="13"/>
      <c r="H14" s="13"/>
      <c r="I14" s="14"/>
      <c r="J14" s="15"/>
    </row>
    <row r="15" spans="1:12" ht="13.5" thickBot="1" x14ac:dyDescent="0.25"/>
    <row r="16" spans="1:12" ht="13.5" thickBot="1" x14ac:dyDescent="0.25">
      <c r="A16" s="30" t="s">
        <v>10</v>
      </c>
      <c r="B16" s="31"/>
      <c r="C16" s="6"/>
      <c r="D16" s="7"/>
      <c r="E16" s="7"/>
      <c r="F16" s="8"/>
      <c r="G16" s="8"/>
      <c r="H16" s="8"/>
      <c r="I16" s="8"/>
      <c r="J16" s="8"/>
      <c r="K16" s="8"/>
      <c r="L16" s="8"/>
    </row>
    <row r="17" spans="1:2" s="21" customFormat="1" x14ac:dyDescent="0.2">
      <c r="A17" s="20" t="str">
        <f>"DROP TABLE IF EXISTS "&amp;$B$1&amp;";"</f>
        <v>DROP TABLE IF EXISTS TaiSan;</v>
      </c>
    </row>
    <row r="18" spans="1:2" s="21" customFormat="1" x14ac:dyDescent="0.2">
      <c r="A18" s="22" t="str">
        <f>"CREATE TABLE "&amp;$B$1&amp;"("</f>
        <v>CREATE TABLE TaiSan(</v>
      </c>
    </row>
    <row r="19" spans="1:2" s="21" customFormat="1" x14ac:dyDescent="0.2">
      <c r="B19" s="21" t="str">
        <f>A4&amp;" "&amp;B4&amp;IF(AND(B4&lt;&gt;"int",B4&lt;&gt;"bigint",B4&lt;&gt;"bit",B4&lt;&gt;"float",B4&lt;&gt;"datetime",B4&lt;&gt;"smalldatetime",B4&lt;&gt;"timestamp",B4&lt;&gt;"xml"),"("&amp;C4&amp;") "," ")&amp;""&amp;IF(F4=FALSE,"NOT NULL","NULL")&amp;IF(G4&lt;&gt;""," DEFAULT ("&amp;G4&amp;")","")&amp;IF(H4=TRUE," AUTO_INCREMENT","")&amp;IF(A5&lt;&gt;"",", ","")</f>
        <v xml:space="preserve">id int NOT NULL AUTO_INCREMENT, </v>
      </c>
    </row>
    <row r="20" spans="1:2" s="21" customFormat="1" x14ac:dyDescent="0.2">
      <c r="B20" s="21" t="str">
        <f t="shared" ref="B20:B29" si="0">A5&amp;" "&amp;B5&amp;IF(AND(B5&lt;&gt;"int",B5&lt;&gt;"bigint",B5&lt;&gt;"bit",B5&lt;&gt;"float",B5&lt;&gt;"datetime",B5&lt;&gt;"smalldatetime",B5&lt;&gt;"timestamp",B5&lt;&gt;"xml"),"("&amp;C5&amp;") "," ")&amp;""&amp;IF(F5=FALSE,"NOT NULL","NULL")&amp;IF(G5&lt;&gt;""," DEFAULT ("&amp;G5&amp;")","")&amp;IF(H5=TRUE," AUTO_INCREMENT","")&amp;IF(A6&lt;&gt;"",", ","")</f>
        <v xml:space="preserve">ten nvarchar(256) NOT NULL, </v>
      </c>
    </row>
    <row r="21" spans="1:2" s="21" customFormat="1" x14ac:dyDescent="0.2">
      <c r="B21" s="21" t="str">
        <f t="shared" si="0"/>
        <v xml:space="preserve">loai nvarchar(128) NOT NULL, </v>
      </c>
    </row>
    <row r="22" spans="1:2" s="21" customFormat="1" x14ac:dyDescent="0.2">
      <c r="B22" s="21" t="str">
        <f t="shared" si="0"/>
        <v xml:space="preserve">ma_giay_to int NULL, </v>
      </c>
    </row>
    <row r="23" spans="1:2" s="21" customFormat="1" x14ac:dyDescent="0.2">
      <c r="B23" s="21" t="str">
        <f t="shared" si="0"/>
        <v xml:space="preserve">hinh_anh nvarchar(512) NOT NULL, </v>
      </c>
    </row>
    <row r="24" spans="1:2" s="21" customFormat="1" x14ac:dyDescent="0.2">
      <c r="B24" s="21" t="str">
        <f t="shared" si="0"/>
        <v xml:space="preserve">gia_tri float NOT NULL, </v>
      </c>
    </row>
    <row r="25" spans="1:2" s="21" customFormat="1" x14ac:dyDescent="0.2">
      <c r="B25" s="21" t="str">
        <f t="shared" si="0"/>
        <v xml:space="preserve">trang_thai varchar(32) NOT NULL, </v>
      </c>
    </row>
    <row r="26" spans="1:2" s="21" customFormat="1" x14ac:dyDescent="0.2">
      <c r="B26" s="21" t="str">
        <f t="shared" si="0"/>
        <v xml:space="preserve">ngay_tao datetime NULL, </v>
      </c>
    </row>
    <row r="27" spans="1:2" s="21" customFormat="1" x14ac:dyDescent="0.2">
      <c r="B27" s="21" t="str">
        <f t="shared" si="0"/>
        <v xml:space="preserve">nguoi_tao nvarchar(64) NULL, </v>
      </c>
    </row>
    <row r="28" spans="1:2" s="21" customFormat="1" x14ac:dyDescent="0.2">
      <c r="B28" s="21" t="str">
        <f t="shared" si="0"/>
        <v xml:space="preserve">ngay_cap_nhat datetime NULL, </v>
      </c>
    </row>
    <row r="29" spans="1:2" s="21" customFormat="1" x14ac:dyDescent="0.2">
      <c r="B29" s="21" t="str">
        <f t="shared" si="0"/>
        <v>nguoi_cap_nhat nvarchar(64) NULL</v>
      </c>
    </row>
    <row r="30" spans="1:2" s="21" customFormat="1" x14ac:dyDescent="0.2">
      <c r="A30" s="21" t="s">
        <v>34</v>
      </c>
    </row>
    <row r="31" spans="1:2" s="21" customFormat="1" x14ac:dyDescent="0.2">
      <c r="B31" s="5" t="str">
        <f>IF(D4=TRUE, A4&amp;IF(D5="", "", ", "), "")</f>
        <v>id</v>
      </c>
    </row>
    <row r="32" spans="1:2" s="21" customFormat="1" x14ac:dyDescent="0.2">
      <c r="B32" s="5" t="str">
        <f>IF(D5=TRUE, A5&amp;IF(D6="", "", ", "), "")</f>
        <v/>
      </c>
    </row>
    <row r="33" spans="1:12" s="21" customFormat="1" x14ac:dyDescent="0.2">
      <c r="B33" s="5" t="str">
        <f>IF(D6=TRUE, A6&amp;IF(D9="", "", ", "), "")</f>
        <v/>
      </c>
    </row>
    <row r="34" spans="1:12" s="21" customFormat="1" x14ac:dyDescent="0.2">
      <c r="B34" s="5" t="str">
        <f t="shared" ref="B34:B35" si="1">IF(D9=TRUE, A9&amp;IF(D10="", "", ", "), "")</f>
        <v/>
      </c>
    </row>
    <row r="35" spans="1:12" s="21" customFormat="1" x14ac:dyDescent="0.2">
      <c r="B35" s="5" t="str">
        <f t="shared" si="1"/>
        <v/>
      </c>
    </row>
    <row r="36" spans="1:12" s="21" customFormat="1" x14ac:dyDescent="0.2">
      <c r="B36" s="21" t="s">
        <v>35</v>
      </c>
    </row>
    <row r="37" spans="1:12" s="21" customFormat="1" x14ac:dyDescent="0.2">
      <c r="A37" s="21" t="s">
        <v>33</v>
      </c>
    </row>
    <row r="38" spans="1:12" x14ac:dyDescent="0.2">
      <c r="A38" s="2"/>
      <c r="B38" s="2"/>
      <c r="C38" s="2"/>
      <c r="D38" s="2"/>
      <c r="E38" s="2"/>
      <c r="F38" s="3"/>
      <c r="G38" s="2"/>
      <c r="H38" s="2"/>
      <c r="I38" s="4"/>
      <c r="J38" s="4"/>
      <c r="K38" s="2"/>
      <c r="L38" s="2"/>
    </row>
    <row r="39" spans="1:12" x14ac:dyDescent="0.2">
      <c r="C39" t="s">
        <v>23</v>
      </c>
    </row>
    <row r="42" spans="1:12" x14ac:dyDescent="0.2">
      <c r="A42" s="19" t="s">
        <v>24</v>
      </c>
      <c r="B42" s="19" t="str">
        <f>B1</f>
        <v>TaiSan</v>
      </c>
      <c r="C42" s="19"/>
    </row>
    <row r="43" spans="1:12" x14ac:dyDescent="0.2">
      <c r="A43" s="19" t="s">
        <v>25</v>
      </c>
      <c r="B43" s="19"/>
      <c r="C43" s="19"/>
    </row>
    <row r="44" spans="1:12" x14ac:dyDescent="0.2">
      <c r="A44" s="19"/>
      <c r="B44" s="19" t="s">
        <v>26</v>
      </c>
      <c r="C44" s="19"/>
    </row>
    <row r="45" spans="1:12" x14ac:dyDescent="0.2">
      <c r="A45" s="19"/>
      <c r="B45" s="19" t="s">
        <v>27</v>
      </c>
      <c r="C45" s="19"/>
    </row>
    <row r="46" spans="1:12" x14ac:dyDescent="0.2">
      <c r="A46" s="19" t="s">
        <v>28</v>
      </c>
      <c r="B46" s="19" t="str">
        <f>IF(OR($B4="nvarchar",$B4="varchar"),"string",IF($B4="datetime","DateTime",$B4))</f>
        <v>int</v>
      </c>
      <c r="C46" s="19" t="str">
        <f>$A4&amp;" "&amp;$C$39</f>
        <v>id  { get; set; }</v>
      </c>
    </row>
    <row r="47" spans="1:12" x14ac:dyDescent="0.2">
      <c r="A47" s="19" t="s">
        <v>28</v>
      </c>
      <c r="B47" s="19" t="str">
        <f>IF(OR($B5="nvarchar",$B5="varchar"),"string",IF($B5="datetime","DateTime",$B5))</f>
        <v>string</v>
      </c>
      <c r="C47" s="19" t="str">
        <f>$A5&amp;" "&amp;$C$39</f>
        <v>ten  { get; set; }</v>
      </c>
    </row>
    <row r="48" spans="1:12" x14ac:dyDescent="0.2">
      <c r="A48" s="19" t="s">
        <v>28</v>
      </c>
      <c r="B48" s="19" t="str">
        <f>IF(OR($B6="nvarchar",$B6="varchar"),"string",IF($B6="datetime","DateTime",$B6))</f>
        <v>string</v>
      </c>
      <c r="C48" s="19" t="str">
        <f>$A6&amp;" "&amp;$C$39</f>
        <v>loai  { get; set; }</v>
      </c>
    </row>
    <row r="49" spans="1:3" x14ac:dyDescent="0.2">
      <c r="A49" s="19" t="s">
        <v>28</v>
      </c>
      <c r="B49" s="19" t="str">
        <f>IF(OR($B9="nvarchar",$B9="varchar"),"string",IF($B9="datetime","DateTime",$B9))</f>
        <v>float</v>
      </c>
      <c r="C49" s="19" t="str">
        <f>$A9&amp;" "&amp;$C$39</f>
        <v>gia_tri  { get; set; }</v>
      </c>
    </row>
    <row r="50" spans="1:3" x14ac:dyDescent="0.2">
      <c r="A50" s="19" t="s">
        <v>28</v>
      </c>
      <c r="B50" s="19" t="str">
        <f>IF(OR($B10="nvarchar",$B10="varchar"),"string",IF($B10="datetime","DateTime",$B10))</f>
        <v>string</v>
      </c>
      <c r="C50" s="19" t="str">
        <f>$A10&amp;" "&amp;$C$39</f>
        <v>trang_thai  { get; set; }</v>
      </c>
    </row>
    <row r="51" spans="1:3" x14ac:dyDescent="0.2">
      <c r="A51" s="19" t="s">
        <v>28</v>
      </c>
      <c r="B51" s="19" t="str">
        <f>IF(OR($B11="nvarchar",$B11="varchar"),"string",IF($B11="datetime","DateTime",$B11))</f>
        <v>DateTime</v>
      </c>
      <c r="C51" s="19" t="str">
        <f>$A11&amp;" "&amp;$C$39</f>
        <v>ngay_tao  { get; set; }</v>
      </c>
    </row>
    <row r="52" spans="1:3" x14ac:dyDescent="0.2">
      <c r="A52" s="19" t="s">
        <v>28</v>
      </c>
      <c r="B52" s="19" t="str">
        <f>IF(OR($B12="nvarchar",$B12="varchar"),"string",IF($B12="datetime","DateTime",$B12))</f>
        <v>string</v>
      </c>
      <c r="C52" s="19" t="str">
        <f>$A12&amp;" "&amp;$C$39</f>
        <v>nguoi_tao  { get; set; }</v>
      </c>
    </row>
    <row r="53" spans="1:3" x14ac:dyDescent="0.2">
      <c r="A53" s="19" t="s">
        <v>28</v>
      </c>
      <c r="B53" s="19" t="str">
        <f>IF(OR($B13="nvarchar",$B13="varchar"),"string",IF($B13="datetime","DateTime",$B13))</f>
        <v>DateTime</v>
      </c>
      <c r="C53" s="19" t="str">
        <f>$A13&amp;" "&amp;$C$39</f>
        <v>ngay_cap_nhat  { get; set; }</v>
      </c>
    </row>
    <row r="54" spans="1:3" x14ac:dyDescent="0.2">
      <c r="A54" s="19" t="s">
        <v>28</v>
      </c>
      <c r="B54" s="19" t="str">
        <f>IF(OR($B14="nvarchar",$B14="varchar"),"string",IF($B14="datetime","DateTime",$B14))</f>
        <v>string</v>
      </c>
      <c r="C54" s="19" t="str">
        <f>$A14&amp;" "&amp;$C$39</f>
        <v>nguoi_cap_nhat  { get; set; }</v>
      </c>
    </row>
    <row r="55" spans="1:3" x14ac:dyDescent="0.2">
      <c r="A55" s="19" t="s">
        <v>29</v>
      </c>
      <c r="B55" s="19"/>
      <c r="C55" s="19"/>
    </row>
  </sheetData>
  <mergeCells count="1">
    <mergeCell ref="A16:B16"/>
  </mergeCells>
  <hyperlinks>
    <hyperlink ref="D1" location="'Sheet List'!A1" display="back to list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70C0"/>
  </sheetPr>
  <dimension ref="A1:L61"/>
  <sheetViews>
    <sheetView topLeftCell="A3" workbookViewId="0">
      <selection activeCell="C27" sqref="C27"/>
    </sheetView>
  </sheetViews>
  <sheetFormatPr defaultRowHeight="12.75" x14ac:dyDescent="0.2"/>
  <cols>
    <col min="1" max="1" width="23.85546875" customWidth="1"/>
    <col min="2" max="2" width="29.7109375" customWidth="1"/>
    <col min="3" max="3" width="35.28515625" bestFit="1" customWidth="1"/>
    <col min="4" max="4" width="12.140625" bestFit="1" customWidth="1"/>
    <col min="5" max="5" width="19.28515625" bestFit="1" customWidth="1"/>
    <col min="6" max="6" width="10.140625" customWidth="1"/>
    <col min="7" max="8" width="10.42578125" bestFit="1" customWidth="1"/>
    <col min="9" max="9" width="50.7109375" bestFit="1" customWidth="1"/>
    <col min="10" max="10" width="9" customWidth="1"/>
    <col min="14" max="14" width="3" bestFit="1" customWidth="1"/>
    <col min="15" max="26" width="15.7109375" customWidth="1"/>
  </cols>
  <sheetData>
    <row r="1" spans="1:10" x14ac:dyDescent="0.2">
      <c r="A1" s="1" t="s">
        <v>8</v>
      </c>
      <c r="B1" s="1" t="s">
        <v>50</v>
      </c>
      <c r="D1" s="16" t="s">
        <v>14</v>
      </c>
    </row>
    <row r="3" spans="1:10" x14ac:dyDescent="0.2">
      <c r="A3" s="9" t="s">
        <v>0</v>
      </c>
      <c r="B3" s="10" t="s">
        <v>1</v>
      </c>
      <c r="C3" s="10" t="s">
        <v>11</v>
      </c>
      <c r="D3" s="10" t="s">
        <v>2</v>
      </c>
      <c r="E3" s="10" t="s">
        <v>3</v>
      </c>
      <c r="F3" s="10" t="s">
        <v>4</v>
      </c>
      <c r="G3" s="10" t="s">
        <v>5</v>
      </c>
      <c r="H3" s="10" t="s">
        <v>12</v>
      </c>
      <c r="I3" s="11" t="s">
        <v>6</v>
      </c>
      <c r="J3" s="15"/>
    </row>
    <row r="4" spans="1:10" x14ac:dyDescent="0.2">
      <c r="A4" s="28" t="s">
        <v>21</v>
      </c>
      <c r="B4" s="13" t="s">
        <v>15</v>
      </c>
      <c r="C4" s="17"/>
      <c r="D4" s="13" t="b">
        <v>1</v>
      </c>
      <c r="E4" s="13"/>
      <c r="F4" s="13" t="b">
        <v>0</v>
      </c>
      <c r="G4" s="13"/>
      <c r="H4" s="13" t="b">
        <v>1</v>
      </c>
      <c r="I4" s="14"/>
      <c r="J4" s="15"/>
    </row>
    <row r="5" spans="1:10" x14ac:dyDescent="0.2">
      <c r="A5" s="28" t="s">
        <v>47</v>
      </c>
      <c r="B5" s="13" t="s">
        <v>16</v>
      </c>
      <c r="C5" s="17">
        <v>256</v>
      </c>
      <c r="D5" s="13"/>
      <c r="E5" s="13"/>
      <c r="F5" s="13" t="b">
        <v>0</v>
      </c>
      <c r="G5" s="13"/>
      <c r="H5" s="13"/>
      <c r="I5" s="14"/>
      <c r="J5" s="15"/>
    </row>
    <row r="6" spans="1:10" x14ac:dyDescent="0.2">
      <c r="A6" s="28" t="s">
        <v>39</v>
      </c>
      <c r="B6" s="13" t="s">
        <v>46</v>
      </c>
      <c r="C6" s="17">
        <v>15</v>
      </c>
      <c r="D6" s="13"/>
      <c r="E6" s="13"/>
      <c r="F6" s="13" t="b">
        <v>0</v>
      </c>
      <c r="G6" s="13"/>
      <c r="H6" s="13"/>
      <c r="I6" s="14" t="s">
        <v>42</v>
      </c>
      <c r="J6" s="15"/>
    </row>
    <row r="7" spans="1:10" x14ac:dyDescent="0.2">
      <c r="A7" s="12" t="s">
        <v>51</v>
      </c>
      <c r="B7" s="13" t="s">
        <v>9</v>
      </c>
      <c r="C7" s="17"/>
      <c r="D7" s="13"/>
      <c r="E7" s="13"/>
      <c r="F7" s="13" t="b">
        <v>0</v>
      </c>
      <c r="G7" s="13"/>
      <c r="H7" s="13"/>
      <c r="I7" s="14"/>
      <c r="J7" s="15"/>
    </row>
    <row r="8" spans="1:10" x14ac:dyDescent="0.2">
      <c r="A8" s="12" t="s">
        <v>52</v>
      </c>
      <c r="B8" s="13" t="s">
        <v>9</v>
      </c>
      <c r="C8" s="17"/>
      <c r="D8" s="13"/>
      <c r="E8" s="13"/>
      <c r="F8" s="13" t="b">
        <v>0</v>
      </c>
      <c r="G8" s="13"/>
      <c r="H8" s="13"/>
      <c r="I8" s="14"/>
      <c r="J8" s="15"/>
    </row>
    <row r="9" spans="1:10" x14ac:dyDescent="0.2">
      <c r="A9" s="12" t="s">
        <v>53</v>
      </c>
      <c r="B9" s="13" t="s">
        <v>32</v>
      </c>
      <c r="C9" s="17"/>
      <c r="D9" s="13"/>
      <c r="E9" s="13"/>
      <c r="F9" s="13" t="b">
        <v>0</v>
      </c>
      <c r="G9" s="13"/>
      <c r="H9" s="13"/>
      <c r="I9" s="14"/>
      <c r="J9" s="15"/>
    </row>
    <row r="10" spans="1:10" x14ac:dyDescent="0.2">
      <c r="A10" s="18" t="s">
        <v>68</v>
      </c>
      <c r="B10" s="13" t="s">
        <v>16</v>
      </c>
      <c r="C10" s="32">
        <v>512</v>
      </c>
      <c r="F10" s="27" t="b">
        <v>0</v>
      </c>
      <c r="I10" t="s">
        <v>70</v>
      </c>
    </row>
    <row r="11" spans="1:10" x14ac:dyDescent="0.2">
      <c r="A11" s="12" t="s">
        <v>30</v>
      </c>
      <c r="B11" s="13" t="s">
        <v>7</v>
      </c>
      <c r="C11" s="17">
        <v>32</v>
      </c>
      <c r="D11" s="13"/>
      <c r="E11" s="13"/>
      <c r="F11" s="13" t="b">
        <v>0</v>
      </c>
      <c r="G11" s="13"/>
      <c r="H11" s="13"/>
      <c r="I11" s="14"/>
      <c r="J11" s="15"/>
    </row>
    <row r="12" spans="1:10" x14ac:dyDescent="0.2">
      <c r="A12" s="12" t="s">
        <v>17</v>
      </c>
      <c r="B12" s="13" t="s">
        <v>9</v>
      </c>
      <c r="D12" s="13"/>
      <c r="E12" s="13"/>
      <c r="F12" s="13" t="b">
        <v>1</v>
      </c>
      <c r="G12" s="13"/>
      <c r="H12" s="13"/>
      <c r="I12" s="14"/>
      <c r="J12" s="15"/>
    </row>
    <row r="13" spans="1:10" x14ac:dyDescent="0.2">
      <c r="A13" s="12" t="s">
        <v>18</v>
      </c>
      <c r="B13" s="13" t="s">
        <v>16</v>
      </c>
      <c r="C13" s="17">
        <v>64</v>
      </c>
      <c r="D13" s="13"/>
      <c r="E13" s="13"/>
      <c r="F13" s="13" t="b">
        <v>1</v>
      </c>
      <c r="G13" s="13"/>
      <c r="H13" s="13"/>
      <c r="I13" s="14"/>
      <c r="J13" s="15"/>
    </row>
    <row r="14" spans="1:10" x14ac:dyDescent="0.2">
      <c r="A14" s="12" t="s">
        <v>19</v>
      </c>
      <c r="B14" s="13" t="s">
        <v>9</v>
      </c>
      <c r="C14" s="17"/>
      <c r="D14" s="13"/>
      <c r="E14" s="13"/>
      <c r="F14" s="13" t="b">
        <v>1</v>
      </c>
      <c r="G14" s="13"/>
      <c r="H14" s="13"/>
      <c r="I14" s="14"/>
      <c r="J14" s="15"/>
    </row>
    <row r="15" spans="1:10" x14ac:dyDescent="0.2">
      <c r="A15" s="12" t="s">
        <v>20</v>
      </c>
      <c r="B15" s="13" t="s">
        <v>16</v>
      </c>
      <c r="C15" s="17">
        <v>64</v>
      </c>
      <c r="D15" s="13"/>
      <c r="E15" s="13"/>
      <c r="F15" s="13" t="b">
        <v>1</v>
      </c>
      <c r="G15" s="13"/>
      <c r="H15" s="13"/>
      <c r="I15" s="14"/>
      <c r="J15" s="15"/>
    </row>
    <row r="16" spans="1:10" ht="13.5" thickBot="1" x14ac:dyDescent="0.25">
      <c r="A16" s="15"/>
      <c r="B16" s="15"/>
      <c r="C16" s="29"/>
      <c r="D16" s="15"/>
      <c r="E16" s="15"/>
      <c r="F16" s="15"/>
      <c r="G16" s="15"/>
      <c r="H16" s="15"/>
      <c r="I16" s="15"/>
      <c r="J16" s="15"/>
    </row>
    <row r="17" spans="1:12" ht="13.5" thickBot="1" x14ac:dyDescent="0.25">
      <c r="A17" s="30" t="s">
        <v>10</v>
      </c>
      <c r="B17" s="31"/>
      <c r="C17" s="6"/>
      <c r="D17" s="7"/>
      <c r="E17" s="7"/>
      <c r="F17" s="8"/>
      <c r="G17" s="8"/>
      <c r="H17" s="8"/>
      <c r="I17" s="8"/>
      <c r="J17" s="8"/>
      <c r="K17" s="8"/>
      <c r="L17" s="8"/>
    </row>
    <row r="18" spans="1:12" s="21" customFormat="1" x14ac:dyDescent="0.2">
      <c r="A18" s="20" t="str">
        <f>"DROP TABLE IF EXISTS "&amp;$B$1&amp;";"</f>
        <v>DROP TABLE IF EXISTS HopDong;</v>
      </c>
    </row>
    <row r="19" spans="1:12" s="21" customFormat="1" x14ac:dyDescent="0.2">
      <c r="A19" s="22" t="str">
        <f>"CREATE TABLE "&amp;$B$1&amp;"("</f>
        <v>CREATE TABLE HopDong(</v>
      </c>
    </row>
    <row r="20" spans="1:12" s="21" customFormat="1" x14ac:dyDescent="0.2">
      <c r="B20" s="21" t="str">
        <f>A4&amp;" "&amp;B4&amp;IF(AND(B4&lt;&gt;"int",B4&lt;&gt;"bigint",B4&lt;&gt;"bit",B4&lt;&gt;"float",B4&lt;&gt;"datetime",B4&lt;&gt;"smalldatetime",B4&lt;&gt;"timestamp",B4&lt;&gt;"xml"),"("&amp;C4&amp;") "," ")&amp;""&amp;IF(F4=FALSE,"NOT NULL","NULL")&amp;IF(G4&lt;&gt;""," DEFAULT ("&amp;G4&amp;")","")&amp;IF(H4=TRUE," AUTO_INCREMENT","")&amp;IF(A5&lt;&gt;"",", ","")</f>
        <v xml:space="preserve">id int NOT NULL AUTO_INCREMENT, </v>
      </c>
    </row>
    <row r="21" spans="1:12" s="21" customFormat="1" x14ac:dyDescent="0.2">
      <c r="B21" s="21" t="str">
        <f t="shared" ref="B21:B31" si="0">A5&amp;" "&amp;B5&amp;IF(AND(B5&lt;&gt;"int",B5&lt;&gt;"bigint",B5&lt;&gt;"bit",B5&lt;&gt;"float",B5&lt;&gt;"datetime",B5&lt;&gt;"smalldatetime",B5&lt;&gt;"timestamp",B5&lt;&gt;"xml"),"("&amp;C5&amp;") "," ")&amp;""&amp;IF(F5=FALSE,"NOT NULL","NULL")&amp;IF(G5&lt;&gt;""," DEFAULT ("&amp;G5&amp;")","")&amp;IF(H5=TRUE," AUTO_INCREMENT","")&amp;IF(A6&lt;&gt;"",", ","")</f>
        <v xml:space="preserve">ten nvarchar(256) NOT NULL, </v>
      </c>
    </row>
    <row r="22" spans="1:12" s="21" customFormat="1" x14ac:dyDescent="0.2">
      <c r="B22" s="21" t="str">
        <f t="shared" si="0"/>
        <v xml:space="preserve">loai char(15) NOT NULL, </v>
      </c>
    </row>
    <row r="23" spans="1:12" s="21" customFormat="1" x14ac:dyDescent="0.2">
      <c r="B23" s="21" t="str">
        <f t="shared" si="0"/>
        <v xml:space="preserve">ngay_cam datetime NOT NULL, </v>
      </c>
    </row>
    <row r="24" spans="1:12" s="21" customFormat="1" x14ac:dyDescent="0.2">
      <c r="B24" s="21" t="str">
        <f t="shared" si="0"/>
        <v xml:space="preserve">ngay_het_han datetime NOT NULL, </v>
      </c>
    </row>
    <row r="25" spans="1:12" s="21" customFormat="1" x14ac:dyDescent="0.2">
      <c r="B25" s="21" t="str">
        <f t="shared" si="0"/>
        <v xml:space="preserve">gia_thoa_thuan float NOT NULL, </v>
      </c>
    </row>
    <row r="26" spans="1:12" s="21" customFormat="1" x14ac:dyDescent="0.2">
      <c r="B26" s="21" t="str">
        <f t="shared" si="0"/>
        <v xml:space="preserve">hinh_anh nvarchar(512) NOT NULL, </v>
      </c>
    </row>
    <row r="27" spans="1:12" s="21" customFormat="1" x14ac:dyDescent="0.2">
      <c r="B27" s="21" t="str">
        <f t="shared" si="0"/>
        <v xml:space="preserve">trang_thai varchar(32) NOT NULL, </v>
      </c>
    </row>
    <row r="28" spans="1:12" s="21" customFormat="1" x14ac:dyDescent="0.2">
      <c r="B28" s="21" t="str">
        <f t="shared" si="0"/>
        <v xml:space="preserve">ngay_tao datetime NULL, </v>
      </c>
    </row>
    <row r="29" spans="1:12" s="21" customFormat="1" x14ac:dyDescent="0.2">
      <c r="B29" s="21" t="str">
        <f t="shared" si="0"/>
        <v xml:space="preserve">nguoi_tao nvarchar(64) NULL, </v>
      </c>
    </row>
    <row r="30" spans="1:12" s="21" customFormat="1" x14ac:dyDescent="0.2">
      <c r="B30" s="21" t="str">
        <f t="shared" si="0"/>
        <v xml:space="preserve">ngay_cap_nhat datetime NULL, </v>
      </c>
    </row>
    <row r="31" spans="1:12" s="21" customFormat="1" x14ac:dyDescent="0.2">
      <c r="B31" s="21" t="str">
        <f t="shared" si="0"/>
        <v>nguoi_cap_nhat nvarchar(64) NULL</v>
      </c>
    </row>
    <row r="32" spans="1:12" s="21" customFormat="1" x14ac:dyDescent="0.2">
      <c r="A32" s="21" t="s">
        <v>34</v>
      </c>
    </row>
    <row r="33" spans="1:12" s="21" customFormat="1" x14ac:dyDescent="0.2">
      <c r="B33" s="5" t="str">
        <f>IF(D4=TRUE, A4&amp;IF(D5="", "", ", "), "")</f>
        <v>id</v>
      </c>
    </row>
    <row r="34" spans="1:12" s="21" customFormat="1" x14ac:dyDescent="0.2">
      <c r="B34" s="5" t="str">
        <f>IF(D5=TRUE, A5&amp;IF(D6="", "", ", "), "")</f>
        <v/>
      </c>
    </row>
    <row r="35" spans="1:12" s="21" customFormat="1" x14ac:dyDescent="0.2">
      <c r="B35" s="5" t="str">
        <f>IF(D6=TRUE, A6&amp;IF(D7="", "", ", "), "")</f>
        <v/>
      </c>
    </row>
    <row r="36" spans="1:12" s="21" customFormat="1" x14ac:dyDescent="0.2">
      <c r="B36" s="5" t="str">
        <f>IF(D7=TRUE, A7&amp;IF(D11="", "", ", "), "")</f>
        <v/>
      </c>
    </row>
    <row r="37" spans="1:12" s="21" customFormat="1" x14ac:dyDescent="0.2">
      <c r="B37" s="5" t="str">
        <f>IF(D11=TRUE, A11&amp;IF(D12="", "", ", "), "")</f>
        <v/>
      </c>
    </row>
    <row r="38" spans="1:12" s="21" customFormat="1" x14ac:dyDescent="0.2">
      <c r="B38" s="21" t="s">
        <v>35</v>
      </c>
    </row>
    <row r="39" spans="1:12" s="21" customFormat="1" x14ac:dyDescent="0.2">
      <c r="A39" s="21" t="s">
        <v>33</v>
      </c>
    </row>
    <row r="40" spans="1:12" x14ac:dyDescent="0.2">
      <c r="A40" s="2"/>
      <c r="B40" s="2"/>
      <c r="C40" s="2"/>
      <c r="D40" s="2"/>
      <c r="E40" s="2"/>
      <c r="F40" s="3"/>
      <c r="G40" s="2"/>
      <c r="H40" s="2"/>
      <c r="I40" s="4"/>
      <c r="J40" s="4"/>
      <c r="K40" s="2"/>
      <c r="L40" s="2"/>
    </row>
    <row r="41" spans="1:12" x14ac:dyDescent="0.2">
      <c r="C41" t="s">
        <v>23</v>
      </c>
    </row>
    <row r="44" spans="1:12" x14ac:dyDescent="0.2">
      <c r="A44" s="19" t="s">
        <v>24</v>
      </c>
      <c r="B44" s="19" t="str">
        <f>B1</f>
        <v>HopDong</v>
      </c>
      <c r="C44" s="19"/>
    </row>
    <row r="45" spans="1:12" x14ac:dyDescent="0.2">
      <c r="A45" s="19" t="s">
        <v>25</v>
      </c>
      <c r="B45" s="19"/>
      <c r="C45" s="19"/>
    </row>
    <row r="46" spans="1:12" x14ac:dyDescent="0.2">
      <c r="A46" s="19"/>
      <c r="B46" s="19" t="s">
        <v>26</v>
      </c>
      <c r="C46" s="19"/>
    </row>
    <row r="47" spans="1:12" x14ac:dyDescent="0.2">
      <c r="A47" s="19"/>
      <c r="B47" s="19" t="s">
        <v>27</v>
      </c>
      <c r="C47" s="19"/>
    </row>
    <row r="48" spans="1:12" x14ac:dyDescent="0.2">
      <c r="A48" s="19" t="s">
        <v>28</v>
      </c>
      <c r="B48" s="19" t="str">
        <f>IF(OR($B4="nvarchar",$B4="varchar"),"string",IF($B4="datetime","DateTime",$B4))</f>
        <v>int</v>
      </c>
      <c r="C48" s="19" t="str">
        <f>$A4&amp;" "&amp;$C$41</f>
        <v>id  { get; set; }</v>
      </c>
    </row>
    <row r="49" spans="1:3" x14ac:dyDescent="0.2">
      <c r="A49" s="19" t="s">
        <v>28</v>
      </c>
      <c r="B49" s="19" t="str">
        <f>IF(OR($B5="nvarchar",$B5="varchar"),"string",IF($B5="datetime","DateTime",$B5))</f>
        <v>string</v>
      </c>
      <c r="C49" s="19" t="str">
        <f>$A5&amp;" "&amp;$C$41</f>
        <v>ten  { get; set; }</v>
      </c>
    </row>
    <row r="50" spans="1:3" x14ac:dyDescent="0.2">
      <c r="A50" s="19" t="s">
        <v>28</v>
      </c>
      <c r="B50" s="19" t="str">
        <f>IF(OR($B6="nvarchar",$B6="varchar"),"string",IF($B6="datetime","DateTime",$B6))</f>
        <v>char</v>
      </c>
      <c r="C50" s="19" t="str">
        <f>$A6&amp;" "&amp;$C$41</f>
        <v>loai  { get; set; }</v>
      </c>
    </row>
    <row r="51" spans="1:3" x14ac:dyDescent="0.2">
      <c r="A51" s="19" t="s">
        <v>28</v>
      </c>
      <c r="B51" s="19" t="str">
        <f>IF(OR($B7="nvarchar",$B7="varchar"),"string",IF($B7="datetime","DateTime",$B7))</f>
        <v>DateTime</v>
      </c>
      <c r="C51" s="19" t="str">
        <f>$A7&amp;" "&amp;$C$41</f>
        <v>ngay_cam  { get; set; }</v>
      </c>
    </row>
    <row r="52" spans="1:3" x14ac:dyDescent="0.2">
      <c r="A52" s="19" t="s">
        <v>28</v>
      </c>
      <c r="B52" s="19" t="str">
        <f>IF(OR($B8="nvarchar",$B8="varchar"),"string",IF($B8="datetime","DateTime",$B8))</f>
        <v>DateTime</v>
      </c>
      <c r="C52" s="19" t="str">
        <f>$A11&amp;" "&amp;$C$41</f>
        <v>trang_thai  { get; set; }</v>
      </c>
    </row>
    <row r="53" spans="1:3" x14ac:dyDescent="0.2">
      <c r="A53" s="19" t="s">
        <v>28</v>
      </c>
      <c r="B53" s="19" t="str">
        <f>IF(OR($B9="nvarchar",$B9="varchar"),"string",IF($B9="datetime","DateTime",$B9))</f>
        <v>float</v>
      </c>
      <c r="C53" s="19" t="str">
        <f>$A12&amp;" "&amp;$C$41</f>
        <v>ngay_tao  { get; set; }</v>
      </c>
    </row>
    <row r="54" spans="1:3" x14ac:dyDescent="0.2">
      <c r="A54" s="19" t="s">
        <v>28</v>
      </c>
      <c r="B54" s="19" t="str">
        <f>IF(OR($B10="nvarchar",$B10="varchar"),"string",IF($B10="datetime","DateTime",$B10))</f>
        <v>string</v>
      </c>
      <c r="C54" s="19" t="str">
        <f>$A13&amp;" "&amp;$C$41</f>
        <v>nguoi_tao  { get; set; }</v>
      </c>
    </row>
    <row r="55" spans="1:3" x14ac:dyDescent="0.2">
      <c r="A55" s="19" t="s">
        <v>28</v>
      </c>
      <c r="B55" s="19" t="str">
        <f>IF(OR($B11="nvarchar",$B11="varchar"),"string",IF($B11="datetime","DateTime",$B11))</f>
        <v>string</v>
      </c>
      <c r="C55" s="19" t="str">
        <f>$A14&amp;" "&amp;$C$41</f>
        <v>ngay_cap_nhat  { get; set; }</v>
      </c>
    </row>
    <row r="56" spans="1:3" x14ac:dyDescent="0.2">
      <c r="A56" s="19" t="s">
        <v>28</v>
      </c>
      <c r="B56" s="19" t="str">
        <f>IF(OR($B12="nvarchar",$B12="varchar"),"string",IF($B12="datetime","DateTime",$B12))</f>
        <v>DateTime</v>
      </c>
      <c r="C56" s="19" t="str">
        <f>$A15&amp;" "&amp;$C$41</f>
        <v>nguoi_cap_nhat  { get; set; }</v>
      </c>
    </row>
    <row r="57" spans="1:3" x14ac:dyDescent="0.2">
      <c r="A57" s="19" t="s">
        <v>28</v>
      </c>
      <c r="B57" s="19" t="str">
        <f>IF(OR($B13="nvarchar",$B13="varchar"),"string",IF($B13="datetime","DateTime",$B13))</f>
        <v>string</v>
      </c>
      <c r="C57" s="19"/>
    </row>
    <row r="58" spans="1:3" x14ac:dyDescent="0.2">
      <c r="A58" s="19" t="s">
        <v>28</v>
      </c>
      <c r="B58" s="19" t="str">
        <f>IF(OR($B14="nvarchar",$B14="varchar"),"string",IF($B14="datetime","DateTime",$B14))</f>
        <v>DateTime</v>
      </c>
    </row>
    <row r="59" spans="1:3" x14ac:dyDescent="0.2">
      <c r="A59" s="19" t="s">
        <v>28</v>
      </c>
      <c r="B59" s="19" t="str">
        <f>IF(OR($B15="nvarchar",$B15="varchar"),"string",IF($B15="datetime","DateTime",$B15))</f>
        <v>string</v>
      </c>
    </row>
    <row r="60" spans="1:3" x14ac:dyDescent="0.2">
      <c r="A60" s="19" t="s">
        <v>29</v>
      </c>
      <c r="B60" s="19"/>
    </row>
    <row r="61" spans="1:3" x14ac:dyDescent="0.2">
      <c r="B61" s="19"/>
    </row>
  </sheetData>
  <mergeCells count="1">
    <mergeCell ref="A17:B17"/>
  </mergeCells>
  <hyperlinks>
    <hyperlink ref="D1" location="'Sheet List'!A1" display="back to list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70C0"/>
  </sheetPr>
  <dimension ref="A1:L51"/>
  <sheetViews>
    <sheetView workbookViewId="0">
      <selection activeCell="A16" sqref="A16"/>
    </sheetView>
  </sheetViews>
  <sheetFormatPr defaultRowHeight="12.75" x14ac:dyDescent="0.2"/>
  <cols>
    <col min="1" max="1" width="23.85546875" customWidth="1"/>
    <col min="2" max="2" width="29.7109375" customWidth="1"/>
    <col min="3" max="3" width="35.28515625" bestFit="1" customWidth="1"/>
    <col min="4" max="4" width="12.140625" bestFit="1" customWidth="1"/>
    <col min="5" max="5" width="19.28515625" bestFit="1" customWidth="1"/>
    <col min="6" max="6" width="10.140625" customWidth="1"/>
    <col min="7" max="8" width="10.42578125" bestFit="1" customWidth="1"/>
    <col min="9" max="9" width="50.7109375" bestFit="1" customWidth="1"/>
    <col min="10" max="10" width="9" customWidth="1"/>
    <col min="14" max="14" width="3" bestFit="1" customWidth="1"/>
    <col min="15" max="26" width="15.7109375" customWidth="1"/>
  </cols>
  <sheetData>
    <row r="1" spans="1:12" x14ac:dyDescent="0.2">
      <c r="A1" s="1" t="s">
        <v>8</v>
      </c>
      <c r="B1" s="1" t="s">
        <v>71</v>
      </c>
      <c r="D1" s="16" t="s">
        <v>14</v>
      </c>
    </row>
    <row r="3" spans="1:12" x14ac:dyDescent="0.2">
      <c r="A3" s="9" t="s">
        <v>0</v>
      </c>
      <c r="B3" s="10" t="s">
        <v>1</v>
      </c>
      <c r="C3" s="10" t="s">
        <v>11</v>
      </c>
      <c r="D3" s="10" t="s">
        <v>2</v>
      </c>
      <c r="E3" s="10" t="s">
        <v>3</v>
      </c>
      <c r="F3" s="10" t="s">
        <v>4</v>
      </c>
      <c r="G3" s="10" t="s">
        <v>5</v>
      </c>
      <c r="H3" s="10" t="s">
        <v>12</v>
      </c>
      <c r="I3" s="11" t="s">
        <v>6</v>
      </c>
      <c r="J3" s="15"/>
    </row>
    <row r="4" spans="1:12" x14ac:dyDescent="0.2">
      <c r="A4" s="28" t="s">
        <v>21</v>
      </c>
      <c r="B4" s="13" t="s">
        <v>15</v>
      </c>
      <c r="C4" s="17"/>
      <c r="D4" s="13" t="b">
        <v>1</v>
      </c>
      <c r="E4" s="13"/>
      <c r="F4" s="13" t="b">
        <v>0</v>
      </c>
      <c r="G4" s="13"/>
      <c r="H4" s="13" t="b">
        <v>1</v>
      </c>
      <c r="I4" s="14"/>
      <c r="J4" s="15"/>
    </row>
    <row r="5" spans="1:12" x14ac:dyDescent="0.2">
      <c r="A5" s="28"/>
      <c r="B5" s="13"/>
      <c r="C5" s="17"/>
      <c r="D5" s="13"/>
      <c r="E5" s="13"/>
      <c r="F5" s="13" t="b">
        <v>0</v>
      </c>
      <c r="G5" s="13"/>
      <c r="H5" s="13"/>
      <c r="I5" s="14"/>
      <c r="J5" s="15"/>
    </row>
    <row r="6" spans="1:12" x14ac:dyDescent="0.2">
      <c r="A6" s="28"/>
      <c r="B6" s="13"/>
      <c r="C6" s="17"/>
      <c r="D6" s="13"/>
      <c r="E6" s="13"/>
      <c r="F6" s="13" t="b">
        <v>0</v>
      </c>
      <c r="G6" s="13"/>
      <c r="H6" s="13"/>
      <c r="I6" s="14"/>
      <c r="J6" s="15"/>
    </row>
    <row r="7" spans="1:12" x14ac:dyDescent="0.2">
      <c r="A7" s="12"/>
      <c r="B7" s="13"/>
      <c r="C7" s="17"/>
      <c r="D7" s="13"/>
      <c r="E7" s="13"/>
      <c r="F7" s="13" t="b">
        <v>0</v>
      </c>
      <c r="G7" s="13"/>
      <c r="H7" s="13"/>
      <c r="I7" s="14"/>
      <c r="J7" s="15"/>
    </row>
    <row r="8" spans="1:12" x14ac:dyDescent="0.2">
      <c r="A8" s="12"/>
      <c r="B8" s="13"/>
      <c r="C8" s="17"/>
      <c r="D8" s="13"/>
      <c r="E8" s="13"/>
      <c r="F8" s="13" t="b">
        <v>0</v>
      </c>
      <c r="G8" s="13"/>
      <c r="H8" s="13"/>
      <c r="I8" s="14"/>
      <c r="J8" s="15"/>
    </row>
    <row r="9" spans="1:12" x14ac:dyDescent="0.2">
      <c r="A9" s="12"/>
      <c r="B9" s="13"/>
      <c r="C9" s="17"/>
      <c r="D9" s="13"/>
      <c r="E9" s="13"/>
      <c r="F9" s="13" t="b">
        <v>1</v>
      </c>
      <c r="G9" s="13"/>
      <c r="H9" s="13"/>
      <c r="I9" s="14"/>
      <c r="J9" s="15"/>
    </row>
    <row r="10" spans="1:12" x14ac:dyDescent="0.2">
      <c r="A10" s="12"/>
      <c r="B10" s="13"/>
      <c r="C10" s="17"/>
      <c r="D10" s="13"/>
      <c r="E10" s="13"/>
      <c r="F10" s="13" t="b">
        <v>1</v>
      </c>
      <c r="G10" s="13"/>
      <c r="H10" s="13"/>
      <c r="I10" s="14"/>
      <c r="J10" s="15"/>
    </row>
    <row r="11" spans="1:12" x14ac:dyDescent="0.2">
      <c r="A11" s="12"/>
      <c r="B11" s="13"/>
      <c r="C11" s="17"/>
      <c r="D11" s="13"/>
      <c r="E11" s="13"/>
      <c r="F11" s="13" t="b">
        <v>1</v>
      </c>
      <c r="G11" s="13"/>
      <c r="H11" s="13"/>
      <c r="I11" s="14"/>
      <c r="J11" s="15"/>
    </row>
    <row r="12" spans="1:12" x14ac:dyDescent="0.2">
      <c r="A12" s="12"/>
      <c r="B12" s="13"/>
      <c r="C12" s="17"/>
      <c r="D12" s="13"/>
      <c r="E12" s="13"/>
      <c r="F12" s="13" t="b">
        <v>1</v>
      </c>
      <c r="G12" s="13"/>
      <c r="H12" s="13"/>
      <c r="I12" s="14"/>
      <c r="J12" s="15"/>
    </row>
    <row r="13" spans="1:12" ht="13.5" thickBot="1" x14ac:dyDescent="0.25"/>
    <row r="14" spans="1:12" ht="13.5" thickBot="1" x14ac:dyDescent="0.25">
      <c r="A14" s="30" t="s">
        <v>10</v>
      </c>
      <c r="B14" s="31"/>
      <c r="C14" s="6"/>
      <c r="D14" s="7"/>
      <c r="E14" s="7"/>
      <c r="F14" s="8"/>
      <c r="G14" s="8"/>
      <c r="H14" s="8"/>
      <c r="I14" s="8"/>
      <c r="J14" s="8"/>
      <c r="K14" s="8"/>
      <c r="L14" s="8"/>
    </row>
    <row r="15" spans="1:12" s="21" customFormat="1" x14ac:dyDescent="0.2">
      <c r="A15" s="20" t="str">
        <f>"DROP TABLE IF EXISTS "&amp;$B$1&amp;";"</f>
        <v>DROP TABLE IF EXISTS ChiTietHopDong;</v>
      </c>
    </row>
    <row r="16" spans="1:12" s="21" customFormat="1" x14ac:dyDescent="0.2">
      <c r="A16" s="22" t="str">
        <f>"CREATE TABLE "&amp;$B$1&amp;"("</f>
        <v>CREATE TABLE ChiTietHopDong(</v>
      </c>
    </row>
    <row r="17" spans="1:2" s="21" customFormat="1" x14ac:dyDescent="0.2">
      <c r="B17" s="21" t="str">
        <f>A4&amp;" "&amp;B4&amp;IF(AND(B4&lt;&gt;"int",B4&lt;&gt;"bigint",B4&lt;&gt;"bit",B4&lt;&gt;"float",B4&lt;&gt;"datetime",B4&lt;&gt;"smalldatetime",B4&lt;&gt;"timestamp",B4&lt;&gt;"xml"),"("&amp;C4&amp;") "," ")&amp;""&amp;IF(F4=FALSE,"NOT NULL","NULL")&amp;IF(G4&lt;&gt;""," DEFAULT ("&amp;G4&amp;")","")&amp;IF(H4=TRUE," AUTO_INCREMENT","")&amp;IF(A5&lt;&gt;"",", ","")</f>
        <v>id int NOT NULL AUTO_INCREMENT</v>
      </c>
    </row>
    <row r="18" spans="1:2" s="21" customFormat="1" x14ac:dyDescent="0.2">
      <c r="B18" s="21" t="str">
        <f t="shared" ref="B18:B25" si="0">A5&amp;" "&amp;B5&amp;IF(AND(B5&lt;&gt;"int",B5&lt;&gt;"bigint",B5&lt;&gt;"bit",B5&lt;&gt;"float",B5&lt;&gt;"datetime",B5&lt;&gt;"smalldatetime",B5&lt;&gt;"timestamp",B5&lt;&gt;"xml"),"("&amp;C5&amp;") "," ")&amp;""&amp;IF(F5=FALSE,"NOT NULL","NULL")&amp;IF(G5&lt;&gt;""," DEFAULT ("&amp;G5&amp;")","")&amp;IF(H5=TRUE," AUTO_INCREMENT","")&amp;IF(A6&lt;&gt;"",", ","")</f>
        <v xml:space="preserve"> () NOT NULL</v>
      </c>
    </row>
    <row r="19" spans="1:2" s="21" customFormat="1" x14ac:dyDescent="0.2">
      <c r="B19" s="21" t="str">
        <f t="shared" si="0"/>
        <v xml:space="preserve"> () NOT NULL</v>
      </c>
    </row>
    <row r="20" spans="1:2" s="21" customFormat="1" x14ac:dyDescent="0.2">
      <c r="B20" s="21" t="str">
        <f t="shared" si="0"/>
        <v xml:space="preserve"> () NOT NULL</v>
      </c>
    </row>
    <row r="21" spans="1:2" s="21" customFormat="1" x14ac:dyDescent="0.2">
      <c r="B21" s="21" t="str">
        <f t="shared" si="0"/>
        <v xml:space="preserve"> () NOT NULL</v>
      </c>
    </row>
    <row r="22" spans="1:2" s="21" customFormat="1" x14ac:dyDescent="0.2">
      <c r="B22" s="21" t="str">
        <f t="shared" si="0"/>
        <v xml:space="preserve"> () NULL</v>
      </c>
    </row>
    <row r="23" spans="1:2" s="21" customFormat="1" x14ac:dyDescent="0.2">
      <c r="B23" s="21" t="str">
        <f t="shared" si="0"/>
        <v xml:space="preserve"> () NULL</v>
      </c>
    </row>
    <row r="24" spans="1:2" s="21" customFormat="1" x14ac:dyDescent="0.2">
      <c r="B24" s="21" t="str">
        <f t="shared" si="0"/>
        <v xml:space="preserve"> () NULL</v>
      </c>
    </row>
    <row r="25" spans="1:2" s="21" customFormat="1" x14ac:dyDescent="0.2">
      <c r="B25" s="21" t="str">
        <f t="shared" si="0"/>
        <v xml:space="preserve"> () NULL</v>
      </c>
    </row>
    <row r="26" spans="1:2" s="21" customFormat="1" x14ac:dyDescent="0.2">
      <c r="A26" s="21" t="s">
        <v>34</v>
      </c>
    </row>
    <row r="27" spans="1:2" s="21" customFormat="1" x14ac:dyDescent="0.2">
      <c r="B27" s="5" t="str">
        <f>IF(D4=TRUE, A4&amp;IF(D5="", "", ", "), "")</f>
        <v>id</v>
      </c>
    </row>
    <row r="28" spans="1:2" s="21" customFormat="1" x14ac:dyDescent="0.2">
      <c r="B28" s="5" t="str">
        <f t="shared" ref="B28:B31" si="1">IF(D5=TRUE, A5&amp;IF(D6="", "", ", "), "")</f>
        <v/>
      </c>
    </row>
    <row r="29" spans="1:2" s="21" customFormat="1" x14ac:dyDescent="0.2">
      <c r="B29" s="5" t="str">
        <f t="shared" si="1"/>
        <v/>
      </c>
    </row>
    <row r="30" spans="1:2" s="21" customFormat="1" x14ac:dyDescent="0.2">
      <c r="B30" s="5" t="str">
        <f t="shared" si="1"/>
        <v/>
      </c>
    </row>
    <row r="31" spans="1:2" s="21" customFormat="1" x14ac:dyDescent="0.2">
      <c r="B31" s="5" t="str">
        <f t="shared" si="1"/>
        <v/>
      </c>
    </row>
    <row r="32" spans="1:2" s="21" customFormat="1" x14ac:dyDescent="0.2">
      <c r="B32" s="21" t="s">
        <v>35</v>
      </c>
    </row>
    <row r="33" spans="1:12" s="21" customFormat="1" x14ac:dyDescent="0.2">
      <c r="A33" s="21" t="s">
        <v>33</v>
      </c>
    </row>
    <row r="34" spans="1:12" x14ac:dyDescent="0.2">
      <c r="A34" s="2"/>
      <c r="B34" s="2"/>
      <c r="C34" s="2"/>
      <c r="D34" s="2"/>
      <c r="E34" s="2"/>
      <c r="F34" s="3"/>
      <c r="G34" s="2"/>
      <c r="H34" s="2"/>
      <c r="I34" s="4"/>
      <c r="J34" s="4"/>
      <c r="K34" s="2"/>
      <c r="L34" s="2"/>
    </row>
    <row r="35" spans="1:12" x14ac:dyDescent="0.2">
      <c r="C35" t="s">
        <v>23</v>
      </c>
    </row>
    <row r="38" spans="1:12" x14ac:dyDescent="0.2">
      <c r="A38" s="19" t="s">
        <v>24</v>
      </c>
      <c r="B38" s="19" t="str">
        <f>B1</f>
        <v>ChiTietHopDong</v>
      </c>
      <c r="C38" s="19"/>
    </row>
    <row r="39" spans="1:12" x14ac:dyDescent="0.2">
      <c r="A39" s="19" t="s">
        <v>25</v>
      </c>
      <c r="B39" s="19"/>
      <c r="C39" s="19"/>
    </row>
    <row r="40" spans="1:12" x14ac:dyDescent="0.2">
      <c r="A40" s="19"/>
      <c r="B40" s="19" t="s">
        <v>26</v>
      </c>
      <c r="C40" s="19"/>
    </row>
    <row r="41" spans="1:12" x14ac:dyDescent="0.2">
      <c r="A41" s="19"/>
      <c r="B41" s="19" t="s">
        <v>27</v>
      </c>
      <c r="C41" s="19"/>
    </row>
    <row r="42" spans="1:12" x14ac:dyDescent="0.2">
      <c r="A42" s="19" t="s">
        <v>28</v>
      </c>
      <c r="B42" s="19" t="str">
        <f>IF(OR($B4="nvarchar",$B4="varchar"),"string",IF($B4="datetime","DateTime",$B4))</f>
        <v>int</v>
      </c>
      <c r="C42" s="19" t="str">
        <f>$A4&amp;" "&amp;$C$35</f>
        <v>id  { get; set; }</v>
      </c>
    </row>
    <row r="43" spans="1:12" x14ac:dyDescent="0.2">
      <c r="A43" s="19" t="s">
        <v>28</v>
      </c>
      <c r="B43" s="19">
        <f>IF(OR($B5="nvarchar",$B5="varchar"),"string",IF($B5="datetime","DateTime",$B5))</f>
        <v>0</v>
      </c>
      <c r="C43" s="19" t="str">
        <f>$A5&amp;" "&amp;$C$35</f>
        <v xml:space="preserve">  { get; set; }</v>
      </c>
    </row>
    <row r="44" spans="1:12" x14ac:dyDescent="0.2">
      <c r="A44" s="19" t="s">
        <v>28</v>
      </c>
      <c r="B44" s="19">
        <f>IF(OR($B6="nvarchar",$B6="varchar"),"string",IF($B6="datetime","DateTime",$B6))</f>
        <v>0</v>
      </c>
      <c r="C44" s="19" t="str">
        <f>$A6&amp;" "&amp;$C$35</f>
        <v xml:space="preserve">  { get; set; }</v>
      </c>
    </row>
    <row r="45" spans="1:12" x14ac:dyDescent="0.2">
      <c r="A45" s="19" t="s">
        <v>28</v>
      </c>
      <c r="B45" s="19">
        <f>IF(OR($B7="nvarchar",$B7="varchar"),"string",IF($B7="datetime","DateTime",$B7))</f>
        <v>0</v>
      </c>
      <c r="C45" s="19" t="str">
        <f>$A7&amp;" "&amp;$C$35</f>
        <v xml:space="preserve">  { get; set; }</v>
      </c>
    </row>
    <row r="46" spans="1:12" x14ac:dyDescent="0.2">
      <c r="A46" s="19" t="s">
        <v>28</v>
      </c>
      <c r="B46" s="19">
        <f>IF(OR($B8="nvarchar",$B8="varchar"),"string",IF($B8="datetime","DateTime",$B8))</f>
        <v>0</v>
      </c>
      <c r="C46" s="19" t="str">
        <f>$A8&amp;" "&amp;$C$35</f>
        <v xml:space="preserve">  { get; set; }</v>
      </c>
    </row>
    <row r="47" spans="1:12" x14ac:dyDescent="0.2">
      <c r="A47" s="19" t="s">
        <v>28</v>
      </c>
      <c r="B47" s="19">
        <f>IF(OR($B9="nvarchar",$B9="varchar"),"string",IF($B9="datetime","DateTime",$B9))</f>
        <v>0</v>
      </c>
      <c r="C47" s="19" t="str">
        <f>$A9&amp;" "&amp;$C$35</f>
        <v xml:space="preserve">  { get; set; }</v>
      </c>
    </row>
    <row r="48" spans="1:12" x14ac:dyDescent="0.2">
      <c r="A48" s="19" t="s">
        <v>28</v>
      </c>
      <c r="B48" s="19">
        <f>IF(OR($B10="nvarchar",$B10="varchar"),"string",IF($B10="datetime","DateTime",$B10))</f>
        <v>0</v>
      </c>
      <c r="C48" s="19" t="str">
        <f>$A10&amp;" "&amp;$C$35</f>
        <v xml:space="preserve">  { get; set; }</v>
      </c>
    </row>
    <row r="49" spans="1:3" x14ac:dyDescent="0.2">
      <c r="A49" s="19" t="s">
        <v>28</v>
      </c>
      <c r="B49" s="19">
        <f>IF(OR($B11="nvarchar",$B11="varchar"),"string",IF($B11="datetime","DateTime",$B11))</f>
        <v>0</v>
      </c>
      <c r="C49" s="19" t="str">
        <f>$A11&amp;" "&amp;$C$35</f>
        <v xml:space="preserve">  { get; set; }</v>
      </c>
    </row>
    <row r="50" spans="1:3" x14ac:dyDescent="0.2">
      <c r="A50" s="19" t="s">
        <v>28</v>
      </c>
      <c r="B50" s="19">
        <f>IF(OR($B12="nvarchar",$B12="varchar"),"string",IF($B12="datetime","DateTime",$B12))</f>
        <v>0</v>
      </c>
      <c r="C50" s="19" t="str">
        <f>$A12&amp;" "&amp;$C$35</f>
        <v xml:space="preserve">  { get; set; }</v>
      </c>
    </row>
    <row r="51" spans="1:3" x14ac:dyDescent="0.2">
      <c r="A51" s="19" t="s">
        <v>29</v>
      </c>
      <c r="B51" s="19"/>
      <c r="C51" s="19"/>
    </row>
  </sheetData>
  <mergeCells count="1">
    <mergeCell ref="A14:B14"/>
  </mergeCells>
  <hyperlinks>
    <hyperlink ref="D1" location="'Sheet List'!A1" display="back to list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Sheet List</vt:lpstr>
      <vt:lpstr>Menu</vt:lpstr>
      <vt:lpstr>TinTuc</vt:lpstr>
      <vt:lpstr>LoaiTinTuc</vt:lpstr>
      <vt:lpstr>DanhSachCuaHang</vt:lpstr>
      <vt:lpstr>KhachHang</vt:lpstr>
      <vt:lpstr>GiayTo</vt:lpstr>
      <vt:lpstr>TaiSan</vt:lpstr>
      <vt:lpstr>HopDong</vt:lpstr>
      <vt:lpstr>ChiTietHopDong</vt:lpstr>
    </vt:vector>
  </TitlesOfParts>
  <Company>Hewlett-Packard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dungndq@live.com</dc:creator>
  <cp:lastModifiedBy>hancuhp</cp:lastModifiedBy>
  <cp:lastPrinted>2014-02-26T11:40:55Z</cp:lastPrinted>
  <dcterms:created xsi:type="dcterms:W3CDTF">2013-10-30T07:53:16Z</dcterms:created>
  <dcterms:modified xsi:type="dcterms:W3CDTF">2017-10-05T19:19:10Z</dcterms:modified>
</cp:coreProperties>
</file>